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radeep Caphive\Downloads\"/>
    </mc:Choice>
  </mc:AlternateContent>
  <xr:revisionPtr revIDLastSave="0" documentId="13_ncr:1_{01EB4005-858C-46D0-889E-14DF6DB8F6A7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Income Statement" sheetId="1" r:id="rId1"/>
    <sheet name="Balance Sheet" sheetId="2" r:id="rId2"/>
    <sheet name="Budgeted Income Statement" sheetId="3" r:id="rId3"/>
    <sheet name="Budgeted Balance Shee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3" l="1"/>
  <c r="C6" i="3"/>
  <c r="C7" i="3"/>
  <c r="C8" i="3"/>
  <c r="D8" i="3" s="1"/>
  <c r="E8" i="3" s="1"/>
  <c r="F8" i="3" s="1"/>
  <c r="G8" i="3" s="1"/>
  <c r="H8" i="3" s="1"/>
  <c r="I8" i="3" s="1"/>
  <c r="J8" i="3" s="1"/>
  <c r="K8" i="3" s="1"/>
  <c r="C9" i="3"/>
  <c r="C10" i="3"/>
  <c r="C11" i="3"/>
  <c r="D11" i="3" s="1"/>
  <c r="E11" i="3" s="1"/>
  <c r="F11" i="3" s="1"/>
  <c r="G11" i="3" s="1"/>
  <c r="H11" i="3" s="1"/>
  <c r="I11" i="3" s="1"/>
  <c r="J11" i="3" s="1"/>
  <c r="K11" i="3" s="1"/>
  <c r="C12" i="3"/>
  <c r="C3" i="3"/>
  <c r="D3" i="3" s="1"/>
  <c r="E3" i="3" s="1"/>
  <c r="F3" i="3" s="1"/>
  <c r="G3" i="3" s="1"/>
  <c r="H3" i="3" s="1"/>
  <c r="I3" i="3" s="1"/>
  <c r="J3" i="3" s="1"/>
  <c r="K3" i="3" s="1"/>
  <c r="B9" i="3"/>
  <c r="D7" i="3"/>
  <c r="E7" i="3" s="1"/>
  <c r="F7" i="3" s="1"/>
  <c r="G7" i="3" s="1"/>
  <c r="H7" i="3" s="1"/>
  <c r="I7" i="3" s="1"/>
  <c r="J7" i="3" s="1"/>
  <c r="K7" i="3" s="1"/>
  <c r="D6" i="3"/>
  <c r="E6" i="3" s="1"/>
  <c r="F6" i="3" s="1"/>
  <c r="G6" i="3" s="1"/>
  <c r="H6" i="3" s="1"/>
  <c r="I6" i="3" s="1"/>
  <c r="J6" i="3" s="1"/>
  <c r="K6" i="3" s="1"/>
  <c r="B5" i="3"/>
  <c r="B10" i="3" s="1"/>
  <c r="B12" i="3" s="1"/>
  <c r="D4" i="3"/>
  <c r="E4" i="3" s="1"/>
  <c r="F4" i="3" s="1"/>
  <c r="G4" i="3" s="1"/>
  <c r="H4" i="3" s="1"/>
  <c r="I4" i="3" s="1"/>
  <c r="J4" i="3" s="1"/>
  <c r="K4" i="3" s="1"/>
  <c r="D5" i="1"/>
  <c r="E5" i="1"/>
  <c r="F5" i="1" s="1"/>
  <c r="G5" i="1" s="1"/>
  <c r="H5" i="1" s="1"/>
  <c r="I5" i="1" s="1"/>
  <c r="J5" i="1" s="1"/>
  <c r="K5" i="1" s="1"/>
  <c r="D6" i="1"/>
  <c r="E6" i="1"/>
  <c r="F6" i="1"/>
  <c r="G6" i="1" s="1"/>
  <c r="H6" i="1" s="1"/>
  <c r="I6" i="1" s="1"/>
  <c r="J6" i="1" s="1"/>
  <c r="K6" i="1" s="1"/>
  <c r="D7" i="1"/>
  <c r="E7" i="1"/>
  <c r="F7" i="1" s="1"/>
  <c r="G7" i="1" s="1"/>
  <c r="H7" i="1" s="1"/>
  <c r="I7" i="1" s="1"/>
  <c r="J7" i="1" s="1"/>
  <c r="K7" i="1" s="1"/>
  <c r="D10" i="1"/>
  <c r="E10" i="1"/>
  <c r="F10" i="1"/>
  <c r="G10" i="1"/>
  <c r="H10" i="1"/>
  <c r="I10" i="1"/>
  <c r="J10" i="1" s="1"/>
  <c r="K10" i="1" s="1"/>
  <c r="C3" i="1"/>
  <c r="D3" i="1" s="1"/>
  <c r="E3" i="1" s="1"/>
  <c r="F3" i="1" s="1"/>
  <c r="G3" i="1" s="1"/>
  <c r="H3" i="1" s="1"/>
  <c r="I3" i="1" s="1"/>
  <c r="J3" i="1" s="1"/>
  <c r="K3" i="1" s="1"/>
  <c r="C4" i="1"/>
  <c r="D4" i="1" s="1"/>
  <c r="E4" i="1" s="1"/>
  <c r="F4" i="1" s="1"/>
  <c r="G4" i="1" s="1"/>
  <c r="H4" i="1" s="1"/>
  <c r="I4" i="1" s="1"/>
  <c r="J4" i="1" s="1"/>
  <c r="K4" i="1" s="1"/>
  <c r="C5" i="1"/>
  <c r="C6" i="1"/>
  <c r="C7" i="1"/>
  <c r="C10" i="1"/>
  <c r="C2" i="1"/>
  <c r="D2" i="1" s="1"/>
  <c r="E2" i="1" s="1"/>
  <c r="F2" i="1" s="1"/>
  <c r="G2" i="1" s="1"/>
  <c r="H2" i="1" s="1"/>
  <c r="I2" i="1" s="1"/>
  <c r="J2" i="1" s="1"/>
  <c r="K2" i="1" s="1"/>
  <c r="J18" i="4"/>
  <c r="K18" i="4" s="1"/>
  <c r="J17" i="4"/>
  <c r="K17" i="4" s="1"/>
  <c r="J15" i="4"/>
  <c r="K15" i="4" s="1"/>
  <c r="J13" i="4"/>
  <c r="K13" i="4" s="1"/>
  <c r="J12" i="4"/>
  <c r="K12" i="4" s="1"/>
  <c r="J11" i="4"/>
  <c r="K11" i="4" s="1"/>
  <c r="J9" i="4"/>
  <c r="K9" i="4" s="1"/>
  <c r="J8" i="4"/>
  <c r="K8" i="4" s="1"/>
  <c r="J7" i="4"/>
  <c r="K7" i="4" s="1"/>
  <c r="J5" i="4"/>
  <c r="K5" i="4" s="1"/>
  <c r="J4" i="4"/>
  <c r="K4" i="4" s="1"/>
  <c r="J3" i="4"/>
  <c r="K3" i="4" s="1"/>
  <c r="J3" i="2"/>
  <c r="K3" i="2" s="1"/>
  <c r="J4" i="2"/>
  <c r="K4" i="2" s="1"/>
  <c r="J6" i="2"/>
  <c r="K6" i="2" s="1"/>
  <c r="J7" i="2"/>
  <c r="K7" i="2" s="1"/>
  <c r="J10" i="2"/>
  <c r="K10" i="2" s="1"/>
  <c r="J11" i="2"/>
  <c r="K11" i="2" s="1"/>
  <c r="J12" i="2"/>
  <c r="K12" i="2" s="1"/>
  <c r="J14" i="2"/>
  <c r="K14" i="2" s="1"/>
  <c r="J16" i="2"/>
  <c r="K16" i="2" s="1"/>
  <c r="J17" i="2"/>
  <c r="K17" i="2" s="1"/>
  <c r="J2" i="2"/>
  <c r="K2" i="2" s="1"/>
  <c r="I19" i="4"/>
  <c r="J19" i="4" s="1"/>
  <c r="K19" i="4" s="1"/>
  <c r="H19" i="4"/>
  <c r="G19" i="4"/>
  <c r="F19" i="4"/>
  <c r="E19" i="4"/>
  <c r="D19" i="4"/>
  <c r="C19" i="4"/>
  <c r="B19" i="4"/>
  <c r="I14" i="4"/>
  <c r="I16" i="4" s="1"/>
  <c r="H14" i="4"/>
  <c r="H16" i="4" s="1"/>
  <c r="H20" i="4" s="1"/>
  <c r="G14" i="4"/>
  <c r="G16" i="4" s="1"/>
  <c r="G20" i="4" s="1"/>
  <c r="F14" i="4"/>
  <c r="F16" i="4" s="1"/>
  <c r="F20" i="4" s="1"/>
  <c r="E14" i="4"/>
  <c r="E16" i="4" s="1"/>
  <c r="E20" i="4" s="1"/>
  <c r="D14" i="4"/>
  <c r="D16" i="4" s="1"/>
  <c r="C14" i="4"/>
  <c r="C16" i="4" s="1"/>
  <c r="B14" i="4"/>
  <c r="B16" i="4" s="1"/>
  <c r="I9" i="4"/>
  <c r="H9" i="4"/>
  <c r="G9" i="4"/>
  <c r="F9" i="4"/>
  <c r="E9" i="4"/>
  <c r="D9" i="4"/>
  <c r="C9" i="4"/>
  <c r="B9" i="4"/>
  <c r="I6" i="4"/>
  <c r="J6" i="4" s="1"/>
  <c r="K6" i="4" s="1"/>
  <c r="H6" i="4"/>
  <c r="G6" i="4"/>
  <c r="F6" i="4"/>
  <c r="E6" i="4"/>
  <c r="D6" i="4"/>
  <c r="C6" i="4"/>
  <c r="B6" i="4"/>
  <c r="I18" i="2"/>
  <c r="J18" i="2" s="1"/>
  <c r="K18" i="2" s="1"/>
  <c r="H18" i="2"/>
  <c r="G18" i="2"/>
  <c r="F18" i="2"/>
  <c r="E18" i="2"/>
  <c r="D18" i="2"/>
  <c r="C18" i="2"/>
  <c r="B18" i="2"/>
  <c r="I13" i="2"/>
  <c r="I15" i="2" s="1"/>
  <c r="J15" i="2" s="1"/>
  <c r="K15" i="2" s="1"/>
  <c r="H13" i="2"/>
  <c r="H15" i="2" s="1"/>
  <c r="G13" i="2"/>
  <c r="G15" i="2" s="1"/>
  <c r="F13" i="2"/>
  <c r="F15" i="2" s="1"/>
  <c r="E13" i="2"/>
  <c r="E15" i="2" s="1"/>
  <c r="D13" i="2"/>
  <c r="D15" i="2" s="1"/>
  <c r="C13" i="2"/>
  <c r="C15" i="2" s="1"/>
  <c r="B13" i="2"/>
  <c r="B15" i="2" s="1"/>
  <c r="I8" i="2"/>
  <c r="J8" i="2" s="1"/>
  <c r="K8" i="2" s="1"/>
  <c r="H8" i="2"/>
  <c r="G8" i="2"/>
  <c r="F8" i="2"/>
  <c r="E8" i="2"/>
  <c r="D8" i="2"/>
  <c r="C8" i="2"/>
  <c r="B8" i="2"/>
  <c r="I5" i="2"/>
  <c r="J5" i="2" s="1"/>
  <c r="K5" i="2" s="1"/>
  <c r="H5" i="2"/>
  <c r="G5" i="2"/>
  <c r="F5" i="2"/>
  <c r="E5" i="2"/>
  <c r="D5" i="2"/>
  <c r="C5" i="2"/>
  <c r="B5" i="2"/>
  <c r="B8" i="1"/>
  <c r="C8" i="1" s="1"/>
  <c r="D8" i="1" s="1"/>
  <c r="E8" i="1" s="1"/>
  <c r="F8" i="1" s="1"/>
  <c r="G8" i="1" s="1"/>
  <c r="H8" i="1" s="1"/>
  <c r="I8" i="1" s="1"/>
  <c r="J8" i="1" s="1"/>
  <c r="K8" i="1" s="1"/>
  <c r="B4" i="1"/>
  <c r="B20" i="4" l="1"/>
  <c r="C20" i="4"/>
  <c r="J14" i="4"/>
  <c r="K14" i="4" s="1"/>
  <c r="D20" i="4"/>
  <c r="I20" i="4"/>
  <c r="J20" i="4" s="1"/>
  <c r="K20" i="4" s="1"/>
  <c r="J16" i="4"/>
  <c r="K16" i="4" s="1"/>
  <c r="E19" i="2"/>
  <c r="D9" i="2"/>
  <c r="E9" i="2"/>
  <c r="J13" i="2"/>
  <c r="K13" i="2" s="1"/>
  <c r="C5" i="3"/>
  <c r="D5" i="3" s="1"/>
  <c r="E5" i="3" s="1"/>
  <c r="F5" i="3" s="1"/>
  <c r="G5" i="3" s="1"/>
  <c r="H5" i="3" s="1"/>
  <c r="I5" i="3" s="1"/>
  <c r="J5" i="3" s="1"/>
  <c r="K5" i="3" s="1"/>
  <c r="D9" i="3"/>
  <c r="E9" i="3" s="1"/>
  <c r="F9" i="3" s="1"/>
  <c r="G9" i="3" s="1"/>
  <c r="H9" i="3" s="1"/>
  <c r="I9" i="3" s="1"/>
  <c r="J9" i="3" s="1"/>
  <c r="K9" i="3" s="1"/>
  <c r="D12" i="3"/>
  <c r="E12" i="3" s="1"/>
  <c r="F12" i="3" s="1"/>
  <c r="G12" i="3" s="1"/>
  <c r="H12" i="3" s="1"/>
  <c r="I12" i="3" s="1"/>
  <c r="J12" i="3" s="1"/>
  <c r="K12" i="3" s="1"/>
  <c r="B13" i="3"/>
  <c r="B14" i="3"/>
  <c r="D10" i="3"/>
  <c r="E10" i="3" s="1"/>
  <c r="F10" i="3" s="1"/>
  <c r="G10" i="3" s="1"/>
  <c r="H10" i="3" s="1"/>
  <c r="I10" i="3" s="1"/>
  <c r="J10" i="3" s="1"/>
  <c r="K10" i="3" s="1"/>
  <c r="B9" i="1"/>
  <c r="C19" i="2"/>
  <c r="D19" i="2"/>
  <c r="F19" i="2"/>
  <c r="G19" i="2"/>
  <c r="I19" i="2"/>
  <c r="J19" i="2" s="1"/>
  <c r="K19" i="2" s="1"/>
  <c r="B19" i="2"/>
  <c r="I9" i="2"/>
  <c r="J9" i="2" s="1"/>
  <c r="K9" i="2" s="1"/>
  <c r="H19" i="2"/>
  <c r="B9" i="2"/>
  <c r="C9" i="2"/>
  <c r="H10" i="4"/>
  <c r="F10" i="4"/>
  <c r="G10" i="4"/>
  <c r="I10" i="4"/>
  <c r="J10" i="4" s="1"/>
  <c r="K10" i="4" s="1"/>
  <c r="B10" i="4"/>
  <c r="C10" i="4"/>
  <c r="D10" i="4"/>
  <c r="E10" i="4"/>
  <c r="F9" i="2"/>
  <c r="G9" i="2"/>
  <c r="H9" i="2"/>
  <c r="B11" i="1" l="1"/>
  <c r="C9" i="1"/>
  <c r="D9" i="1" s="1"/>
  <c r="E9" i="1" s="1"/>
  <c r="F9" i="1" s="1"/>
  <c r="G9" i="1" s="1"/>
  <c r="H9" i="1" s="1"/>
  <c r="I9" i="1" s="1"/>
  <c r="J9" i="1" s="1"/>
  <c r="K9" i="1" s="1"/>
  <c r="D14" i="3"/>
  <c r="E14" i="3" s="1"/>
  <c r="F14" i="3" s="1"/>
  <c r="G14" i="3" s="1"/>
  <c r="H14" i="3" s="1"/>
  <c r="I14" i="3" s="1"/>
  <c r="J14" i="3" s="1"/>
  <c r="K14" i="3" s="1"/>
  <c r="C14" i="3"/>
  <c r="C13" i="3"/>
  <c r="D13" i="3" s="1"/>
  <c r="E13" i="3" s="1"/>
  <c r="F13" i="3" s="1"/>
  <c r="G13" i="3" s="1"/>
  <c r="H13" i="3" s="1"/>
  <c r="I13" i="3" s="1"/>
  <c r="J13" i="3" s="1"/>
  <c r="K13" i="3" s="1"/>
  <c r="B12" i="1" l="1"/>
  <c r="C11" i="1"/>
  <c r="D11" i="1" s="1"/>
  <c r="E11" i="1" s="1"/>
  <c r="F11" i="1" s="1"/>
  <c r="G11" i="1" s="1"/>
  <c r="H11" i="1" s="1"/>
  <c r="I11" i="1" s="1"/>
  <c r="J11" i="1" s="1"/>
  <c r="K11" i="1" s="1"/>
  <c r="B13" i="1" l="1"/>
  <c r="C13" i="1" s="1"/>
  <c r="D13" i="1" s="1"/>
  <c r="E13" i="1" s="1"/>
  <c r="F13" i="1" s="1"/>
  <c r="G13" i="1" s="1"/>
  <c r="H13" i="1" s="1"/>
  <c r="I13" i="1" s="1"/>
  <c r="J13" i="1" s="1"/>
  <c r="K13" i="1" s="1"/>
  <c r="C12" i="1"/>
  <c r="D12" i="1" s="1"/>
  <c r="E12" i="1" s="1"/>
  <c r="F12" i="1" s="1"/>
  <c r="G12" i="1" s="1"/>
  <c r="H12" i="1" s="1"/>
  <c r="I12" i="1" s="1"/>
  <c r="J12" i="1" s="1"/>
  <c r="K12" i="1" s="1"/>
</calcChain>
</file>

<file path=xl/sharedStrings.xml><?xml version="1.0" encoding="utf-8"?>
<sst xmlns="http://schemas.openxmlformats.org/spreadsheetml/2006/main" count="124" uniqueCount="42">
  <si>
    <t>Particulars</t>
  </si>
  <si>
    <t>Q1 FY24</t>
  </si>
  <si>
    <t>Q2 FY24</t>
  </si>
  <si>
    <t>Q3 FY24</t>
  </si>
  <si>
    <t>Q4 FY24</t>
  </si>
  <si>
    <t>Q1 FY25</t>
  </si>
  <si>
    <t>Q2 FY25</t>
  </si>
  <si>
    <t>Q3 FY25</t>
  </si>
  <si>
    <t>Q4 FY25</t>
  </si>
  <si>
    <t>Budget</t>
  </si>
  <si>
    <t>Q1 FY26</t>
  </si>
  <si>
    <t>Q2 FY26</t>
  </si>
  <si>
    <t>Revenue_</t>
  </si>
  <si>
    <t>Cost of Goods Sold (COGS)_</t>
  </si>
  <si>
    <t>Gross Profit_</t>
  </si>
  <si>
    <t>Research &amp; Development (R&amp;D)_</t>
  </si>
  <si>
    <t>Sales &amp; Marketing (S&amp;M)_</t>
  </si>
  <si>
    <t>General &amp; Administrative (G&amp;A)_</t>
  </si>
  <si>
    <t>Total Operating Expenses_</t>
  </si>
  <si>
    <t>Operating Income (EBIT)_</t>
  </si>
  <si>
    <t>Interest Expense_</t>
  </si>
  <si>
    <t>Income Before Tax (EBT)_</t>
  </si>
  <si>
    <t>Income Tax Expense_</t>
  </si>
  <si>
    <t>Net Income_</t>
  </si>
  <si>
    <t>Cash &amp; Cash Equivalents_</t>
  </si>
  <si>
    <t>Accounts Receivable_</t>
  </si>
  <si>
    <t>Inventory_</t>
  </si>
  <si>
    <t>Total Current Assets_</t>
  </si>
  <si>
    <t>Property, Plant &amp; Equipment (Net)_</t>
  </si>
  <si>
    <t>Goodwill &amp; Intangible Assets_</t>
  </si>
  <si>
    <t>Total Non-Current Assets_</t>
  </si>
  <si>
    <t>TOTAL ASSETS_</t>
  </si>
  <si>
    <t>Accounts Payable_</t>
  </si>
  <si>
    <t>Short-Term Debt_</t>
  </si>
  <si>
    <t>Accrued Expenses_</t>
  </si>
  <si>
    <t>Total Current Liabilities_</t>
  </si>
  <si>
    <t>Long-Term Debt_</t>
  </si>
  <si>
    <t>Total Liabilities_</t>
  </si>
  <si>
    <t>Common Stock_</t>
  </si>
  <si>
    <t>Retained Earnings_</t>
  </si>
  <si>
    <t>Total Stockholders' Equity_</t>
  </si>
  <si>
    <t>TOTAL LIABILITIES &amp; EQUITY_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</si>
</sst>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\(\$#,##0\);&quot;-&quot;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1F4E78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9FAFB"/>
        <bgColor rgb="FFF9FAFB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/>
      <right/>
      <top style="thin">
        <color rgb="FFD3D3D3"/>
      </top>
      <bottom style="double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/>
    </xf>
    <xf numFmtId="0" fontId="2" fillId="3" borderId="0" xfId="0" applyFont="1" applyFill="1" applyAlignment="1">
      <alignment horizontal="left" vertical="center"/>
    </xf>
    <xf numFmtId="164" fontId="2" fillId="3" borderId="0" xfId="0" applyNumberFormat="1" applyFont="1" applyFill="1" applyAlignment="1">
      <alignment horizontal="right" vertical="center"/>
    </xf>
    <xf numFmtId="0" fontId="3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0" fontId="4" fillId="4" borderId="0" xfId="0" applyFont="1" applyFill="1"/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workbookViewId="0">
      <pane xSplit="1" ySplit="1" topLeftCell="B2" activePane="bottomRight" state="frozen"/>
      <selection pane="topRight"/>
      <selection pane="bottomLeft"/>
      <selection pane="bottomRight" activeCell="A23" sqref="A23"/>
    </sheetView>
  </sheetViews>
  <sheetFormatPr defaultRowHeight="14.4" x14ac:dyDescent="0.3"/>
  <cols>
    <col min="1" max="1" width="36" customWidth="1"/>
    <col min="2" max="9" width="15" customWidth="1"/>
    <col min="10" max="10" width="9.88671875" bestFit="1" customWidth="1"/>
  </cols>
  <sheetData>
    <row r="1" spans="1:1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10</v>
      </c>
      <c r="K1" s="2" t="s">
        <v>11</v>
      </c>
    </row>
    <row r="2" spans="1:11" x14ac:dyDescent="0.3">
      <c r="A2" s="3" t="s">
        <v>12</v>
      </c>
      <c r="B2" s="4">
        <v>30</v>
      </c>
      <c r="C2" s="4">
        <f>B2*110%</f>
        <v>33</v>
      </c>
      <c r="D2" s="4">
        <f t="shared" ref="D2:K2" si="0">C2*110%</f>
        <v>36.300000000000004</v>
      </c>
      <c r="E2" s="4">
        <f t="shared" si="0"/>
        <v>39.930000000000007</v>
      </c>
      <c r="F2" s="4">
        <f t="shared" si="0"/>
        <v>43.923000000000009</v>
      </c>
      <c r="G2" s="4">
        <f t="shared" si="0"/>
        <v>48.315300000000015</v>
      </c>
      <c r="H2" s="4">
        <f t="shared" si="0"/>
        <v>53.146830000000023</v>
      </c>
      <c r="I2" s="4">
        <f t="shared" si="0"/>
        <v>58.461513000000032</v>
      </c>
      <c r="J2" s="4">
        <f t="shared" si="0"/>
        <v>64.307664300000042</v>
      </c>
      <c r="K2" s="4">
        <f t="shared" si="0"/>
        <v>70.738430730000047</v>
      </c>
    </row>
    <row r="3" spans="1:11" x14ac:dyDescent="0.3">
      <c r="A3" s="5" t="s">
        <v>13</v>
      </c>
      <c r="B3" s="6">
        <v>6</v>
      </c>
      <c r="C3" s="4">
        <f t="shared" ref="C3:K13" si="1">B3*110%</f>
        <v>6.6000000000000005</v>
      </c>
      <c r="D3" s="4">
        <f t="shared" si="1"/>
        <v>7.2600000000000016</v>
      </c>
      <c r="E3" s="4">
        <f t="shared" si="1"/>
        <v>7.9860000000000024</v>
      </c>
      <c r="F3" s="4">
        <f t="shared" si="1"/>
        <v>8.7846000000000029</v>
      </c>
      <c r="G3" s="4">
        <f t="shared" si="1"/>
        <v>9.6630600000000033</v>
      </c>
      <c r="H3" s="4">
        <f t="shared" si="1"/>
        <v>10.629366000000005</v>
      </c>
      <c r="I3" s="4">
        <f t="shared" si="1"/>
        <v>11.692302600000007</v>
      </c>
      <c r="J3" s="4">
        <f t="shared" si="1"/>
        <v>12.861532860000008</v>
      </c>
      <c r="K3" s="4">
        <f t="shared" si="1"/>
        <v>14.147686146000009</v>
      </c>
    </row>
    <row r="4" spans="1:11" x14ac:dyDescent="0.3">
      <c r="A4" s="7" t="s">
        <v>14</v>
      </c>
      <c r="B4" s="8">
        <f t="shared" ref="B4" si="2">B2-B3</f>
        <v>24</v>
      </c>
      <c r="C4" s="4">
        <f t="shared" si="1"/>
        <v>26.400000000000002</v>
      </c>
      <c r="D4" s="4">
        <f t="shared" si="1"/>
        <v>29.040000000000006</v>
      </c>
      <c r="E4" s="4">
        <f t="shared" si="1"/>
        <v>31.94400000000001</v>
      </c>
      <c r="F4" s="4">
        <f t="shared" si="1"/>
        <v>35.138400000000011</v>
      </c>
      <c r="G4" s="4">
        <f t="shared" si="1"/>
        <v>38.652240000000013</v>
      </c>
      <c r="H4" s="4">
        <f t="shared" si="1"/>
        <v>42.517464000000018</v>
      </c>
      <c r="I4" s="4">
        <f t="shared" si="1"/>
        <v>46.769210400000027</v>
      </c>
      <c r="J4" s="4">
        <f t="shared" si="1"/>
        <v>51.44613144000003</v>
      </c>
      <c r="K4" s="4">
        <f t="shared" si="1"/>
        <v>56.590744584000035</v>
      </c>
    </row>
    <row r="5" spans="1:11" x14ac:dyDescent="0.3">
      <c r="A5" s="5" t="s">
        <v>15</v>
      </c>
      <c r="B5" s="6">
        <v>2</v>
      </c>
      <c r="C5" s="4">
        <f t="shared" si="1"/>
        <v>2.2000000000000002</v>
      </c>
      <c r="D5" s="4">
        <f t="shared" si="1"/>
        <v>2.4200000000000004</v>
      </c>
      <c r="E5" s="4">
        <f t="shared" si="1"/>
        <v>2.6620000000000008</v>
      </c>
      <c r="F5" s="4">
        <f t="shared" si="1"/>
        <v>2.9282000000000012</v>
      </c>
      <c r="G5" s="4">
        <f t="shared" si="1"/>
        <v>3.2210200000000015</v>
      </c>
      <c r="H5" s="4">
        <f t="shared" si="1"/>
        <v>3.5431220000000021</v>
      </c>
      <c r="I5" s="4">
        <f t="shared" si="1"/>
        <v>3.8974342000000028</v>
      </c>
      <c r="J5" s="4">
        <f t="shared" si="1"/>
        <v>4.2871776200000031</v>
      </c>
      <c r="K5" s="4">
        <f t="shared" si="1"/>
        <v>4.7158953820000038</v>
      </c>
    </row>
    <row r="6" spans="1:11" x14ac:dyDescent="0.3">
      <c r="A6" s="3" t="s">
        <v>16</v>
      </c>
      <c r="B6" s="4">
        <v>1</v>
      </c>
      <c r="C6" s="4">
        <f t="shared" si="1"/>
        <v>1.1000000000000001</v>
      </c>
      <c r="D6" s="4">
        <f t="shared" si="1"/>
        <v>1.2100000000000002</v>
      </c>
      <c r="E6" s="4">
        <f t="shared" si="1"/>
        <v>1.3310000000000004</v>
      </c>
      <c r="F6" s="4">
        <f t="shared" si="1"/>
        <v>1.4641000000000006</v>
      </c>
      <c r="G6" s="4">
        <f t="shared" si="1"/>
        <v>1.6105100000000008</v>
      </c>
      <c r="H6" s="4">
        <f t="shared" si="1"/>
        <v>1.7715610000000011</v>
      </c>
      <c r="I6" s="4">
        <f t="shared" si="1"/>
        <v>1.9487171000000014</v>
      </c>
      <c r="J6" s="4">
        <f t="shared" si="1"/>
        <v>2.1435888100000016</v>
      </c>
      <c r="K6" s="4">
        <f t="shared" si="1"/>
        <v>2.3579476910000019</v>
      </c>
    </row>
    <row r="7" spans="1:11" x14ac:dyDescent="0.3">
      <c r="A7" s="5" t="s">
        <v>17</v>
      </c>
      <c r="B7" s="6">
        <v>3</v>
      </c>
      <c r="C7" s="4">
        <f t="shared" si="1"/>
        <v>3.3000000000000003</v>
      </c>
      <c r="D7" s="4">
        <f t="shared" si="1"/>
        <v>3.6300000000000008</v>
      </c>
      <c r="E7" s="4">
        <f t="shared" si="1"/>
        <v>3.9930000000000012</v>
      </c>
      <c r="F7" s="4">
        <f t="shared" si="1"/>
        <v>4.3923000000000014</v>
      </c>
      <c r="G7" s="4">
        <f t="shared" si="1"/>
        <v>4.8315300000000017</v>
      </c>
      <c r="H7" s="4">
        <f t="shared" si="1"/>
        <v>5.3146830000000023</v>
      </c>
      <c r="I7" s="4">
        <f t="shared" si="1"/>
        <v>5.8461513000000034</v>
      </c>
      <c r="J7" s="4">
        <f t="shared" si="1"/>
        <v>6.4307664300000038</v>
      </c>
      <c r="K7" s="4">
        <f t="shared" si="1"/>
        <v>7.0738430730000044</v>
      </c>
    </row>
    <row r="8" spans="1:11" x14ac:dyDescent="0.3">
      <c r="A8" s="7" t="s">
        <v>18</v>
      </c>
      <c r="B8" s="8">
        <f t="shared" ref="B8" si="3">SUM(B5:B7)</f>
        <v>6</v>
      </c>
      <c r="C8" s="4">
        <f t="shared" si="1"/>
        <v>6.6000000000000005</v>
      </c>
      <c r="D8" s="4">
        <f t="shared" si="1"/>
        <v>7.2600000000000016</v>
      </c>
      <c r="E8" s="4">
        <f t="shared" si="1"/>
        <v>7.9860000000000024</v>
      </c>
      <c r="F8" s="4">
        <f t="shared" si="1"/>
        <v>8.7846000000000029</v>
      </c>
      <c r="G8" s="4">
        <f t="shared" si="1"/>
        <v>9.6630600000000033</v>
      </c>
      <c r="H8" s="4">
        <f t="shared" si="1"/>
        <v>10.629366000000005</v>
      </c>
      <c r="I8" s="4">
        <f t="shared" si="1"/>
        <v>11.692302600000007</v>
      </c>
      <c r="J8" s="4">
        <f t="shared" si="1"/>
        <v>12.861532860000008</v>
      </c>
      <c r="K8" s="4">
        <f t="shared" si="1"/>
        <v>14.147686146000009</v>
      </c>
    </row>
    <row r="9" spans="1:11" x14ac:dyDescent="0.3">
      <c r="A9" s="7" t="s">
        <v>19</v>
      </c>
      <c r="B9" s="8">
        <f t="shared" ref="B9" si="4">B4-B8</f>
        <v>18</v>
      </c>
      <c r="C9" s="4">
        <f t="shared" si="1"/>
        <v>19.8</v>
      </c>
      <c r="D9" s="4">
        <f t="shared" si="1"/>
        <v>21.78</v>
      </c>
      <c r="E9" s="4">
        <f t="shared" si="1"/>
        <v>23.958000000000002</v>
      </c>
      <c r="F9" s="4">
        <f t="shared" si="1"/>
        <v>26.353800000000003</v>
      </c>
      <c r="G9" s="4">
        <f t="shared" si="1"/>
        <v>28.989180000000005</v>
      </c>
      <c r="H9" s="4">
        <f t="shared" si="1"/>
        <v>31.888098000000006</v>
      </c>
      <c r="I9" s="4">
        <f t="shared" si="1"/>
        <v>35.076907800000008</v>
      </c>
      <c r="J9" s="4">
        <f t="shared" si="1"/>
        <v>38.584598580000012</v>
      </c>
      <c r="K9" s="4">
        <f t="shared" si="1"/>
        <v>42.443058438000016</v>
      </c>
    </row>
    <row r="10" spans="1:11" x14ac:dyDescent="0.3">
      <c r="A10" s="3" t="s">
        <v>20</v>
      </c>
      <c r="B10" s="4">
        <v>5</v>
      </c>
      <c r="C10" s="4">
        <f t="shared" si="1"/>
        <v>5.5</v>
      </c>
      <c r="D10" s="4">
        <f t="shared" si="1"/>
        <v>6.0500000000000007</v>
      </c>
      <c r="E10" s="4">
        <f t="shared" si="1"/>
        <v>6.6550000000000011</v>
      </c>
      <c r="F10" s="4">
        <f t="shared" si="1"/>
        <v>7.3205000000000018</v>
      </c>
      <c r="G10" s="4">
        <f t="shared" si="1"/>
        <v>8.0525500000000019</v>
      </c>
      <c r="H10" s="4">
        <f t="shared" si="1"/>
        <v>8.8578050000000026</v>
      </c>
      <c r="I10" s="4">
        <f t="shared" si="1"/>
        <v>9.7435855000000036</v>
      </c>
      <c r="J10" s="4">
        <f t="shared" si="1"/>
        <v>10.717944050000005</v>
      </c>
      <c r="K10" s="4">
        <f t="shared" si="1"/>
        <v>11.789738455000007</v>
      </c>
    </row>
    <row r="11" spans="1:11" x14ac:dyDescent="0.3">
      <c r="A11" s="5" t="s">
        <v>21</v>
      </c>
      <c r="B11" s="6">
        <f t="shared" ref="B11" si="5">B9-B10</f>
        <v>13</v>
      </c>
      <c r="C11" s="4">
        <f t="shared" si="1"/>
        <v>14.3</v>
      </c>
      <c r="D11" s="4">
        <f t="shared" si="1"/>
        <v>15.730000000000002</v>
      </c>
      <c r="E11" s="4">
        <f t="shared" si="1"/>
        <v>17.303000000000004</v>
      </c>
      <c r="F11" s="4">
        <f t="shared" si="1"/>
        <v>19.033300000000008</v>
      </c>
      <c r="G11" s="4">
        <f t="shared" si="1"/>
        <v>20.936630000000012</v>
      </c>
      <c r="H11" s="4">
        <f t="shared" si="1"/>
        <v>23.030293000000015</v>
      </c>
      <c r="I11" s="4">
        <f t="shared" si="1"/>
        <v>25.333322300000017</v>
      </c>
      <c r="J11" s="4">
        <f t="shared" si="1"/>
        <v>27.866654530000019</v>
      </c>
      <c r="K11" s="4">
        <f t="shared" si="1"/>
        <v>30.653319983000024</v>
      </c>
    </row>
    <row r="12" spans="1:11" x14ac:dyDescent="0.3">
      <c r="A12" s="3" t="s">
        <v>22</v>
      </c>
      <c r="B12" s="4">
        <f t="shared" ref="B12" si="6">B11*0.25</f>
        <v>3.25</v>
      </c>
      <c r="C12" s="4">
        <f t="shared" si="1"/>
        <v>3.5750000000000002</v>
      </c>
      <c r="D12" s="4">
        <f t="shared" si="1"/>
        <v>3.9325000000000006</v>
      </c>
      <c r="E12" s="4">
        <f t="shared" si="1"/>
        <v>4.3257500000000011</v>
      </c>
      <c r="F12" s="4">
        <f t="shared" si="1"/>
        <v>4.7583250000000019</v>
      </c>
      <c r="G12" s="4">
        <f t="shared" si="1"/>
        <v>5.2341575000000029</v>
      </c>
      <c r="H12" s="4">
        <f t="shared" si="1"/>
        <v>5.7575732500000036</v>
      </c>
      <c r="I12" s="4">
        <f t="shared" si="1"/>
        <v>6.3333305750000042</v>
      </c>
      <c r="J12" s="4">
        <f t="shared" si="1"/>
        <v>6.9666636325000049</v>
      </c>
      <c r="K12" s="4">
        <f t="shared" si="1"/>
        <v>7.6633299957500061</v>
      </c>
    </row>
    <row r="13" spans="1:11" x14ac:dyDescent="0.3">
      <c r="A13" s="7" t="s">
        <v>23</v>
      </c>
      <c r="B13" s="9">
        <f t="shared" ref="B13" si="7">B11-B12</f>
        <v>9.75</v>
      </c>
      <c r="C13" s="4">
        <f t="shared" si="1"/>
        <v>10.725000000000001</v>
      </c>
      <c r="D13" s="4">
        <f t="shared" si="1"/>
        <v>11.797500000000003</v>
      </c>
      <c r="E13" s="4">
        <f t="shared" si="1"/>
        <v>12.977250000000005</v>
      </c>
      <c r="F13" s="4">
        <f t="shared" si="1"/>
        <v>14.274975000000007</v>
      </c>
      <c r="G13" s="4">
        <f t="shared" si="1"/>
        <v>15.702472500000008</v>
      </c>
      <c r="H13" s="4">
        <f t="shared" si="1"/>
        <v>17.272719750000011</v>
      </c>
      <c r="I13" s="4">
        <f t="shared" si="1"/>
        <v>18.999991725000015</v>
      </c>
      <c r="J13" s="4">
        <f t="shared" si="1"/>
        <v>20.899990897500018</v>
      </c>
      <c r="K13" s="4">
        <f t="shared" si="1"/>
        <v>22.989989987250024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9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D25" sqref="D25"/>
    </sheetView>
  </sheetViews>
  <sheetFormatPr defaultRowHeight="14.4" x14ac:dyDescent="0.3"/>
  <cols>
    <col min="1" max="1" width="36" customWidth="1"/>
    <col min="2" max="9" width="15" customWidth="1"/>
  </cols>
  <sheetData>
    <row r="1" spans="1:1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10</v>
      </c>
      <c r="K1" s="2" t="s">
        <v>11</v>
      </c>
    </row>
    <row r="2" spans="1:11" x14ac:dyDescent="0.3">
      <c r="A2" s="5" t="s">
        <v>24</v>
      </c>
      <c r="B2" s="6">
        <v>5000</v>
      </c>
      <c r="C2" s="6">
        <v>5400</v>
      </c>
      <c r="D2" s="6">
        <v>5800</v>
      </c>
      <c r="E2" s="6">
        <v>6300</v>
      </c>
      <c r="F2" s="6">
        <v>6800</v>
      </c>
      <c r="G2" s="6">
        <v>7400</v>
      </c>
      <c r="H2" s="6">
        <v>8000</v>
      </c>
      <c r="I2" s="6">
        <v>8700</v>
      </c>
      <c r="J2" s="6">
        <f>I2*110%</f>
        <v>9570</v>
      </c>
      <c r="K2" s="6">
        <f>J2*110%</f>
        <v>10527</v>
      </c>
    </row>
    <row r="3" spans="1:11" x14ac:dyDescent="0.3">
      <c r="A3" s="3" t="s">
        <v>25</v>
      </c>
      <c r="B3" s="4">
        <v>3200</v>
      </c>
      <c r="C3" s="4">
        <v>3400</v>
      </c>
      <c r="D3" s="4">
        <v>3600</v>
      </c>
      <c r="E3" s="4">
        <v>3800</v>
      </c>
      <c r="F3" s="4">
        <v>4000</v>
      </c>
      <c r="G3" s="4">
        <v>4200</v>
      </c>
      <c r="H3" s="4">
        <v>4400</v>
      </c>
      <c r="I3" s="4">
        <v>4600</v>
      </c>
      <c r="J3" s="6">
        <f t="shared" ref="J3:K19" si="0">I3*110%</f>
        <v>5060</v>
      </c>
      <c r="K3" s="6">
        <f t="shared" si="0"/>
        <v>5566</v>
      </c>
    </row>
    <row r="4" spans="1:11" x14ac:dyDescent="0.3">
      <c r="A4" s="5" t="s">
        <v>26</v>
      </c>
      <c r="B4" s="6">
        <v>2100</v>
      </c>
      <c r="C4" s="6">
        <v>2200</v>
      </c>
      <c r="D4" s="6">
        <v>2250</v>
      </c>
      <c r="E4" s="6">
        <v>2300</v>
      </c>
      <c r="F4" s="6">
        <v>2400</v>
      </c>
      <c r="G4" s="6">
        <v>2450</v>
      </c>
      <c r="H4" s="6">
        <v>2500</v>
      </c>
      <c r="I4" s="6">
        <v>2550</v>
      </c>
      <c r="J4" s="6">
        <f t="shared" si="0"/>
        <v>2805</v>
      </c>
      <c r="K4" s="6">
        <f t="shared" si="0"/>
        <v>3085.5000000000005</v>
      </c>
    </row>
    <row r="5" spans="1:11" x14ac:dyDescent="0.3">
      <c r="A5" s="7" t="s">
        <v>27</v>
      </c>
      <c r="B5" s="8">
        <f t="shared" ref="B5:I5" si="1">SUM(B2:B4)</f>
        <v>10300</v>
      </c>
      <c r="C5" s="8">
        <f t="shared" si="1"/>
        <v>11000</v>
      </c>
      <c r="D5" s="8">
        <f t="shared" si="1"/>
        <v>11650</v>
      </c>
      <c r="E5" s="8">
        <f t="shared" si="1"/>
        <v>12400</v>
      </c>
      <c r="F5" s="8">
        <f t="shared" si="1"/>
        <v>13200</v>
      </c>
      <c r="G5" s="8">
        <f t="shared" si="1"/>
        <v>14050</v>
      </c>
      <c r="H5" s="8">
        <f t="shared" si="1"/>
        <v>14900</v>
      </c>
      <c r="I5" s="8">
        <f t="shared" si="1"/>
        <v>15850</v>
      </c>
      <c r="J5" s="6">
        <f t="shared" si="0"/>
        <v>17435</v>
      </c>
      <c r="K5" s="6">
        <f t="shared" si="0"/>
        <v>19178.5</v>
      </c>
    </row>
    <row r="6" spans="1:11" x14ac:dyDescent="0.3">
      <c r="A6" s="5" t="s">
        <v>28</v>
      </c>
      <c r="B6" s="6">
        <v>12000</v>
      </c>
      <c r="C6" s="6">
        <v>11800</v>
      </c>
      <c r="D6" s="6">
        <v>11600</v>
      </c>
      <c r="E6" s="6">
        <v>11400</v>
      </c>
      <c r="F6" s="6">
        <v>12500</v>
      </c>
      <c r="G6" s="6">
        <v>12300</v>
      </c>
      <c r="H6" s="6">
        <v>12100</v>
      </c>
      <c r="I6" s="6">
        <v>11900</v>
      </c>
      <c r="J6" s="6">
        <f t="shared" si="0"/>
        <v>13090.000000000002</v>
      </c>
      <c r="K6" s="6">
        <f t="shared" si="0"/>
        <v>14399.000000000004</v>
      </c>
    </row>
    <row r="7" spans="1:11" x14ac:dyDescent="0.3">
      <c r="A7" s="3" t="s">
        <v>29</v>
      </c>
      <c r="B7" s="4">
        <v>4500</v>
      </c>
      <c r="C7" s="4">
        <v>4500</v>
      </c>
      <c r="D7" s="4">
        <v>4500</v>
      </c>
      <c r="E7" s="4">
        <v>4500</v>
      </c>
      <c r="F7" s="4">
        <v>4500</v>
      </c>
      <c r="G7" s="4">
        <v>4500</v>
      </c>
      <c r="H7" s="4">
        <v>4500</v>
      </c>
      <c r="I7" s="4">
        <v>4500</v>
      </c>
      <c r="J7" s="6">
        <f t="shared" si="0"/>
        <v>4950</v>
      </c>
      <c r="K7" s="6">
        <f t="shared" si="0"/>
        <v>5445</v>
      </c>
    </row>
    <row r="8" spans="1:11" x14ac:dyDescent="0.3">
      <c r="A8" s="7" t="s">
        <v>30</v>
      </c>
      <c r="B8" s="8">
        <f t="shared" ref="B8:I8" si="2">SUM(B6:B7)</f>
        <v>16500</v>
      </c>
      <c r="C8" s="8">
        <f t="shared" si="2"/>
        <v>16300</v>
      </c>
      <c r="D8" s="8">
        <f t="shared" si="2"/>
        <v>16100</v>
      </c>
      <c r="E8" s="8">
        <f t="shared" si="2"/>
        <v>15900</v>
      </c>
      <c r="F8" s="8">
        <f t="shared" si="2"/>
        <v>17000</v>
      </c>
      <c r="G8" s="8">
        <f t="shared" si="2"/>
        <v>16800</v>
      </c>
      <c r="H8" s="8">
        <f t="shared" si="2"/>
        <v>16600</v>
      </c>
      <c r="I8" s="8">
        <f t="shared" si="2"/>
        <v>16400</v>
      </c>
      <c r="J8" s="6">
        <f t="shared" si="0"/>
        <v>18040</v>
      </c>
      <c r="K8" s="6">
        <f t="shared" si="0"/>
        <v>19844</v>
      </c>
    </row>
    <row r="9" spans="1:11" x14ac:dyDescent="0.3">
      <c r="A9" s="7" t="s">
        <v>31</v>
      </c>
      <c r="B9" s="9">
        <f t="shared" ref="B9:I9" si="3">B5+B8</f>
        <v>26800</v>
      </c>
      <c r="C9" s="9">
        <f t="shared" si="3"/>
        <v>27300</v>
      </c>
      <c r="D9" s="9">
        <f t="shared" si="3"/>
        <v>27750</v>
      </c>
      <c r="E9" s="9">
        <f t="shared" si="3"/>
        <v>28300</v>
      </c>
      <c r="F9" s="9">
        <f t="shared" si="3"/>
        <v>30200</v>
      </c>
      <c r="G9" s="9">
        <f t="shared" si="3"/>
        <v>30850</v>
      </c>
      <c r="H9" s="9">
        <f t="shared" si="3"/>
        <v>31500</v>
      </c>
      <c r="I9" s="9">
        <f t="shared" si="3"/>
        <v>32250</v>
      </c>
      <c r="J9" s="6">
        <f t="shared" si="0"/>
        <v>35475</v>
      </c>
      <c r="K9" s="6">
        <f t="shared" si="0"/>
        <v>39022.5</v>
      </c>
    </row>
    <row r="10" spans="1:11" x14ac:dyDescent="0.3">
      <c r="A10" s="3" t="s">
        <v>32</v>
      </c>
      <c r="B10" s="4">
        <v>2400</v>
      </c>
      <c r="C10" s="4">
        <v>2500</v>
      </c>
      <c r="D10" s="4">
        <v>2600</v>
      </c>
      <c r="E10" s="4">
        <v>2700</v>
      </c>
      <c r="F10" s="4">
        <v>2800</v>
      </c>
      <c r="G10" s="4">
        <v>2900</v>
      </c>
      <c r="H10" s="4">
        <v>3000</v>
      </c>
      <c r="I10" s="4">
        <v>3100</v>
      </c>
      <c r="J10" s="6">
        <f t="shared" si="0"/>
        <v>3410.0000000000005</v>
      </c>
      <c r="K10" s="6">
        <f t="shared" si="0"/>
        <v>3751.0000000000009</v>
      </c>
    </row>
    <row r="11" spans="1:11" x14ac:dyDescent="0.3">
      <c r="A11" s="5" t="s">
        <v>33</v>
      </c>
      <c r="B11" s="6">
        <v>1000</v>
      </c>
      <c r="C11" s="6">
        <v>1000</v>
      </c>
      <c r="D11" s="6">
        <v>800</v>
      </c>
      <c r="E11" s="6">
        <v>800</v>
      </c>
      <c r="F11" s="6">
        <v>600</v>
      </c>
      <c r="G11" s="6">
        <v>600</v>
      </c>
      <c r="H11" s="6">
        <v>500</v>
      </c>
      <c r="I11" s="6">
        <v>500</v>
      </c>
      <c r="J11" s="6">
        <f t="shared" si="0"/>
        <v>550</v>
      </c>
      <c r="K11" s="6">
        <f t="shared" si="0"/>
        <v>605</v>
      </c>
    </row>
    <row r="12" spans="1:11" x14ac:dyDescent="0.3">
      <c r="A12" s="3" t="s">
        <v>34</v>
      </c>
      <c r="B12" s="4">
        <v>1200</v>
      </c>
      <c r="C12" s="4">
        <v>1250</v>
      </c>
      <c r="D12" s="4">
        <v>1300</v>
      </c>
      <c r="E12" s="4">
        <v>1350</v>
      </c>
      <c r="F12" s="4">
        <v>1400</v>
      </c>
      <c r="G12" s="4">
        <v>1450</v>
      </c>
      <c r="H12" s="4">
        <v>1500</v>
      </c>
      <c r="I12" s="4">
        <v>1550</v>
      </c>
      <c r="J12" s="6">
        <f t="shared" si="0"/>
        <v>1705.0000000000002</v>
      </c>
      <c r="K12" s="6">
        <f t="shared" si="0"/>
        <v>1875.5000000000005</v>
      </c>
    </row>
    <row r="13" spans="1:11" x14ac:dyDescent="0.3">
      <c r="A13" s="7" t="s">
        <v>35</v>
      </c>
      <c r="B13" s="8">
        <f t="shared" ref="B13:I13" si="4">SUM(B10:B12)</f>
        <v>4600</v>
      </c>
      <c r="C13" s="8">
        <f t="shared" si="4"/>
        <v>4750</v>
      </c>
      <c r="D13" s="8">
        <f t="shared" si="4"/>
        <v>4700</v>
      </c>
      <c r="E13" s="8">
        <f t="shared" si="4"/>
        <v>4850</v>
      </c>
      <c r="F13" s="8">
        <f t="shared" si="4"/>
        <v>4800</v>
      </c>
      <c r="G13" s="8">
        <f t="shared" si="4"/>
        <v>4950</v>
      </c>
      <c r="H13" s="8">
        <f t="shared" si="4"/>
        <v>5000</v>
      </c>
      <c r="I13" s="8">
        <f t="shared" si="4"/>
        <v>5150</v>
      </c>
      <c r="J13" s="6">
        <f t="shared" si="0"/>
        <v>5665.0000000000009</v>
      </c>
      <c r="K13" s="6">
        <f t="shared" si="0"/>
        <v>6231.5000000000018</v>
      </c>
    </row>
    <row r="14" spans="1:11" x14ac:dyDescent="0.3">
      <c r="A14" s="3" t="s">
        <v>36</v>
      </c>
      <c r="B14" s="4">
        <v>8000</v>
      </c>
      <c r="C14" s="4">
        <v>7800</v>
      </c>
      <c r="D14" s="4">
        <v>7600</v>
      </c>
      <c r="E14" s="4">
        <v>7400</v>
      </c>
      <c r="F14" s="4">
        <v>7200</v>
      </c>
      <c r="G14" s="4">
        <v>7000</v>
      </c>
      <c r="H14" s="4">
        <v>6800</v>
      </c>
      <c r="I14" s="4">
        <v>6600</v>
      </c>
      <c r="J14" s="6">
        <f t="shared" si="0"/>
        <v>7260.0000000000009</v>
      </c>
      <c r="K14" s="6">
        <f t="shared" si="0"/>
        <v>7986.0000000000018</v>
      </c>
    </row>
    <row r="15" spans="1:11" x14ac:dyDescent="0.3">
      <c r="A15" s="7" t="s">
        <v>37</v>
      </c>
      <c r="B15" s="8">
        <f t="shared" ref="B15:I15" si="5">B13+B14</f>
        <v>12600</v>
      </c>
      <c r="C15" s="8">
        <f t="shared" si="5"/>
        <v>12550</v>
      </c>
      <c r="D15" s="8">
        <f t="shared" si="5"/>
        <v>12300</v>
      </c>
      <c r="E15" s="8">
        <f t="shared" si="5"/>
        <v>12250</v>
      </c>
      <c r="F15" s="8">
        <f t="shared" si="5"/>
        <v>12000</v>
      </c>
      <c r="G15" s="8">
        <f t="shared" si="5"/>
        <v>11950</v>
      </c>
      <c r="H15" s="8">
        <f t="shared" si="5"/>
        <v>11800</v>
      </c>
      <c r="I15" s="8">
        <f t="shared" si="5"/>
        <v>11750</v>
      </c>
      <c r="J15" s="6">
        <f t="shared" si="0"/>
        <v>12925.000000000002</v>
      </c>
      <c r="K15" s="6">
        <f t="shared" si="0"/>
        <v>14217.500000000004</v>
      </c>
    </row>
    <row r="16" spans="1:11" x14ac:dyDescent="0.3">
      <c r="A16" s="3" t="s">
        <v>38</v>
      </c>
      <c r="B16" s="4">
        <v>5000</v>
      </c>
      <c r="C16" s="4">
        <v>5000</v>
      </c>
      <c r="D16" s="4">
        <v>5000</v>
      </c>
      <c r="E16" s="4">
        <v>5000</v>
      </c>
      <c r="F16" s="4">
        <v>5000</v>
      </c>
      <c r="G16" s="4">
        <v>5000</v>
      </c>
      <c r="H16" s="4">
        <v>5000</v>
      </c>
      <c r="I16" s="4">
        <v>5000</v>
      </c>
      <c r="J16" s="6">
        <f t="shared" si="0"/>
        <v>5500</v>
      </c>
      <c r="K16" s="6">
        <f t="shared" si="0"/>
        <v>6050.0000000000009</v>
      </c>
    </row>
    <row r="17" spans="1:11" x14ac:dyDescent="0.3">
      <c r="A17" s="5" t="s">
        <v>39</v>
      </c>
      <c r="B17" s="6">
        <v>9200</v>
      </c>
      <c r="C17" s="6">
        <v>9750</v>
      </c>
      <c r="D17" s="6">
        <v>10450</v>
      </c>
      <c r="E17" s="6">
        <v>11250</v>
      </c>
      <c r="F17" s="6">
        <v>12200</v>
      </c>
      <c r="G17" s="6">
        <v>13250</v>
      </c>
      <c r="H17" s="6">
        <v>14400</v>
      </c>
      <c r="I17" s="6">
        <v>15600</v>
      </c>
      <c r="J17" s="6">
        <f t="shared" si="0"/>
        <v>17160</v>
      </c>
      <c r="K17" s="6">
        <f t="shared" si="0"/>
        <v>18876</v>
      </c>
    </row>
    <row r="18" spans="1:11" x14ac:dyDescent="0.3">
      <c r="A18" s="7" t="s">
        <v>40</v>
      </c>
      <c r="B18" s="8">
        <f t="shared" ref="B18:I18" si="6">SUM(B16:B17)</f>
        <v>14200</v>
      </c>
      <c r="C18" s="8">
        <f t="shared" si="6"/>
        <v>14750</v>
      </c>
      <c r="D18" s="8">
        <f t="shared" si="6"/>
        <v>15450</v>
      </c>
      <c r="E18" s="8">
        <f t="shared" si="6"/>
        <v>16250</v>
      </c>
      <c r="F18" s="8">
        <f t="shared" si="6"/>
        <v>17200</v>
      </c>
      <c r="G18" s="8">
        <f t="shared" si="6"/>
        <v>18250</v>
      </c>
      <c r="H18" s="8">
        <f t="shared" si="6"/>
        <v>19400</v>
      </c>
      <c r="I18" s="8">
        <f t="shared" si="6"/>
        <v>20600</v>
      </c>
      <c r="J18" s="6">
        <f t="shared" si="0"/>
        <v>22660.000000000004</v>
      </c>
      <c r="K18" s="6">
        <f t="shared" si="0"/>
        <v>24926.000000000007</v>
      </c>
    </row>
    <row r="19" spans="1:11" x14ac:dyDescent="0.3">
      <c r="A19" s="7" t="s">
        <v>41</v>
      </c>
      <c r="B19" s="9">
        <f t="shared" ref="B19:I19" si="7">B15+B18</f>
        <v>26800</v>
      </c>
      <c r="C19" s="9">
        <f t="shared" si="7"/>
        <v>27300</v>
      </c>
      <c r="D19" s="9">
        <f t="shared" si="7"/>
        <v>27750</v>
      </c>
      <c r="E19" s="9">
        <f t="shared" si="7"/>
        <v>28500</v>
      </c>
      <c r="F19" s="9">
        <f t="shared" si="7"/>
        <v>29200</v>
      </c>
      <c r="G19" s="9">
        <f t="shared" si="7"/>
        <v>30200</v>
      </c>
      <c r="H19" s="9">
        <f t="shared" si="7"/>
        <v>31200</v>
      </c>
      <c r="I19" s="9">
        <f t="shared" si="7"/>
        <v>32350</v>
      </c>
      <c r="J19" s="6">
        <f t="shared" si="0"/>
        <v>35585</v>
      </c>
      <c r="K19" s="6">
        <f t="shared" si="0"/>
        <v>39143.5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4"/>
  <sheetViews>
    <sheetView workbookViewId="0">
      <pane xSplit="1" ySplit="1" topLeftCell="B2" activePane="bottomRight" state="frozen"/>
      <selection pane="topRight"/>
      <selection pane="bottomLeft"/>
      <selection pane="bottomRight" activeCell="A3" sqref="A3"/>
    </sheetView>
  </sheetViews>
  <sheetFormatPr defaultRowHeight="14.4" x14ac:dyDescent="0.3"/>
  <cols>
    <col min="1" max="1" width="36" customWidth="1"/>
    <col min="2" max="9" width="15" customWidth="1"/>
  </cols>
  <sheetData>
    <row r="1" spans="1:1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10</v>
      </c>
      <c r="K1" s="2" t="s">
        <v>11</v>
      </c>
    </row>
    <row r="2" spans="1:11" x14ac:dyDescent="0.3">
      <c r="A2" s="11"/>
      <c r="B2" s="12" t="s">
        <v>9</v>
      </c>
      <c r="C2" s="12" t="s">
        <v>9</v>
      </c>
      <c r="D2" s="12" t="s">
        <v>9</v>
      </c>
      <c r="E2" s="12" t="s">
        <v>9</v>
      </c>
      <c r="F2" s="12" t="s">
        <v>9</v>
      </c>
      <c r="G2" s="12" t="s">
        <v>9</v>
      </c>
      <c r="H2" s="12" t="s">
        <v>9</v>
      </c>
      <c r="I2" s="12" t="s">
        <v>9</v>
      </c>
      <c r="J2" s="12" t="s">
        <v>9</v>
      </c>
      <c r="K2" s="12" t="s">
        <v>9</v>
      </c>
    </row>
    <row r="3" spans="1:11" x14ac:dyDescent="0.3">
      <c r="A3" s="3" t="s">
        <v>12</v>
      </c>
      <c r="B3" s="4">
        <v>29</v>
      </c>
      <c r="C3" s="4">
        <f>B3*112%</f>
        <v>32.480000000000004</v>
      </c>
      <c r="D3" s="4">
        <f t="shared" ref="D3:K3" si="0">C3*110%</f>
        <v>35.728000000000009</v>
      </c>
      <c r="E3" s="4">
        <f t="shared" si="0"/>
        <v>39.30080000000001</v>
      </c>
      <c r="F3" s="4">
        <f t="shared" si="0"/>
        <v>43.230880000000013</v>
      </c>
      <c r="G3" s="4">
        <f t="shared" si="0"/>
        <v>47.553968000000019</v>
      </c>
      <c r="H3" s="4">
        <f t="shared" si="0"/>
        <v>52.309364800000026</v>
      </c>
      <c r="I3" s="4">
        <f t="shared" si="0"/>
        <v>57.54030128000003</v>
      </c>
      <c r="J3" s="4">
        <f t="shared" si="0"/>
        <v>63.294331408000041</v>
      </c>
      <c r="K3" s="4">
        <f t="shared" si="0"/>
        <v>69.623764548800054</v>
      </c>
    </row>
    <row r="4" spans="1:11" x14ac:dyDescent="0.3">
      <c r="A4" s="5" t="s">
        <v>13</v>
      </c>
      <c r="B4" s="6">
        <v>6</v>
      </c>
      <c r="C4" s="4">
        <f t="shared" ref="C4:C14" si="1">B4*112%</f>
        <v>6.7200000000000006</v>
      </c>
      <c r="D4" s="4">
        <f t="shared" ref="D4:K14" si="2">C4*110%</f>
        <v>7.3920000000000012</v>
      </c>
      <c r="E4" s="4">
        <f t="shared" si="2"/>
        <v>8.1312000000000015</v>
      </c>
      <c r="F4" s="4">
        <f t="shared" si="2"/>
        <v>8.9443200000000029</v>
      </c>
      <c r="G4" s="4">
        <f t="shared" si="2"/>
        <v>9.8387520000000048</v>
      </c>
      <c r="H4" s="4">
        <f t="shared" si="2"/>
        <v>10.822627200000007</v>
      </c>
      <c r="I4" s="4">
        <f t="shared" si="2"/>
        <v>11.904889920000008</v>
      </c>
      <c r="J4" s="4">
        <f t="shared" si="2"/>
        <v>13.09537891200001</v>
      </c>
      <c r="K4" s="4">
        <f t="shared" si="2"/>
        <v>14.404916803200011</v>
      </c>
    </row>
    <row r="5" spans="1:11" x14ac:dyDescent="0.3">
      <c r="A5" s="7" t="s">
        <v>14</v>
      </c>
      <c r="B5" s="8">
        <f t="shared" ref="B5" si="3">B3-B4</f>
        <v>23</v>
      </c>
      <c r="C5" s="4">
        <f t="shared" si="1"/>
        <v>25.76</v>
      </c>
      <c r="D5" s="4">
        <f t="shared" si="2"/>
        <v>28.336000000000006</v>
      </c>
      <c r="E5" s="4">
        <f t="shared" si="2"/>
        <v>31.16960000000001</v>
      </c>
      <c r="F5" s="4">
        <f t="shared" si="2"/>
        <v>34.286560000000016</v>
      </c>
      <c r="G5" s="4">
        <f t="shared" si="2"/>
        <v>37.715216000000019</v>
      </c>
      <c r="H5" s="4">
        <f t="shared" si="2"/>
        <v>41.486737600000026</v>
      </c>
      <c r="I5" s="4">
        <f t="shared" si="2"/>
        <v>45.635411360000035</v>
      </c>
      <c r="J5" s="4">
        <f t="shared" si="2"/>
        <v>50.19895249600004</v>
      </c>
      <c r="K5" s="4">
        <f t="shared" si="2"/>
        <v>55.218847745600051</v>
      </c>
    </row>
    <row r="6" spans="1:11" x14ac:dyDescent="0.3">
      <c r="A6" s="5" t="s">
        <v>15</v>
      </c>
      <c r="B6" s="6">
        <v>2</v>
      </c>
      <c r="C6" s="4">
        <f t="shared" si="1"/>
        <v>2.2400000000000002</v>
      </c>
      <c r="D6" s="4">
        <f t="shared" si="2"/>
        <v>2.4640000000000004</v>
      </c>
      <c r="E6" s="4">
        <f t="shared" si="2"/>
        <v>2.7104000000000008</v>
      </c>
      <c r="F6" s="4">
        <f t="shared" si="2"/>
        <v>2.981440000000001</v>
      </c>
      <c r="G6" s="4">
        <f t="shared" si="2"/>
        <v>3.2795840000000012</v>
      </c>
      <c r="H6" s="4">
        <f t="shared" si="2"/>
        <v>3.6075424000000016</v>
      </c>
      <c r="I6" s="4">
        <f t="shared" si="2"/>
        <v>3.9682966400000019</v>
      </c>
      <c r="J6" s="4">
        <f t="shared" si="2"/>
        <v>4.3651263040000021</v>
      </c>
      <c r="K6" s="4">
        <f t="shared" si="2"/>
        <v>4.8016389344000023</v>
      </c>
    </row>
    <row r="7" spans="1:11" x14ac:dyDescent="0.3">
      <c r="A7" s="3" t="s">
        <v>16</v>
      </c>
      <c r="B7" s="4">
        <v>1</v>
      </c>
      <c r="C7" s="4">
        <f t="shared" si="1"/>
        <v>1.1200000000000001</v>
      </c>
      <c r="D7" s="4">
        <f t="shared" si="2"/>
        <v>1.2320000000000002</v>
      </c>
      <c r="E7" s="4">
        <f t="shared" si="2"/>
        <v>1.3552000000000004</v>
      </c>
      <c r="F7" s="4">
        <f t="shared" si="2"/>
        <v>1.4907200000000005</v>
      </c>
      <c r="G7" s="4">
        <f t="shared" si="2"/>
        <v>1.6397920000000006</v>
      </c>
      <c r="H7" s="4">
        <f t="shared" si="2"/>
        <v>1.8037712000000008</v>
      </c>
      <c r="I7" s="4">
        <f t="shared" si="2"/>
        <v>1.984148320000001</v>
      </c>
      <c r="J7" s="4">
        <f t="shared" si="2"/>
        <v>2.1825631520000011</v>
      </c>
      <c r="K7" s="4">
        <f t="shared" si="2"/>
        <v>2.4008194672000012</v>
      </c>
    </row>
    <row r="8" spans="1:11" x14ac:dyDescent="0.3">
      <c r="A8" s="5" t="s">
        <v>17</v>
      </c>
      <c r="B8" s="6">
        <v>3</v>
      </c>
      <c r="C8" s="4">
        <f t="shared" si="1"/>
        <v>3.3600000000000003</v>
      </c>
      <c r="D8" s="4">
        <f t="shared" si="2"/>
        <v>3.6960000000000006</v>
      </c>
      <c r="E8" s="4">
        <f t="shared" si="2"/>
        <v>4.0656000000000008</v>
      </c>
      <c r="F8" s="4">
        <f t="shared" si="2"/>
        <v>4.4721600000000015</v>
      </c>
      <c r="G8" s="4">
        <f t="shared" si="2"/>
        <v>4.9193760000000024</v>
      </c>
      <c r="H8" s="4">
        <f t="shared" si="2"/>
        <v>5.4113136000000033</v>
      </c>
      <c r="I8" s="4">
        <f t="shared" si="2"/>
        <v>5.9524449600000038</v>
      </c>
      <c r="J8" s="4">
        <f t="shared" si="2"/>
        <v>6.547689456000005</v>
      </c>
      <c r="K8" s="4">
        <f t="shared" si="2"/>
        <v>7.2024584016000057</v>
      </c>
    </row>
    <row r="9" spans="1:11" x14ac:dyDescent="0.3">
      <c r="A9" s="7" t="s">
        <v>18</v>
      </c>
      <c r="B9" s="8">
        <f t="shared" ref="B9" si="4">SUM(B6:B8)</f>
        <v>6</v>
      </c>
      <c r="C9" s="4">
        <f t="shared" si="1"/>
        <v>6.7200000000000006</v>
      </c>
      <c r="D9" s="4">
        <f t="shared" si="2"/>
        <v>7.3920000000000012</v>
      </c>
      <c r="E9" s="4">
        <f t="shared" si="2"/>
        <v>8.1312000000000015</v>
      </c>
      <c r="F9" s="4">
        <f t="shared" si="2"/>
        <v>8.9443200000000029</v>
      </c>
      <c r="G9" s="4">
        <f t="shared" si="2"/>
        <v>9.8387520000000048</v>
      </c>
      <c r="H9" s="4">
        <f t="shared" si="2"/>
        <v>10.822627200000007</v>
      </c>
      <c r="I9" s="4">
        <f t="shared" si="2"/>
        <v>11.904889920000008</v>
      </c>
      <c r="J9" s="4">
        <f t="shared" si="2"/>
        <v>13.09537891200001</v>
      </c>
      <c r="K9" s="4">
        <f t="shared" si="2"/>
        <v>14.404916803200011</v>
      </c>
    </row>
    <row r="10" spans="1:11" x14ac:dyDescent="0.3">
      <c r="A10" s="7" t="s">
        <v>19</v>
      </c>
      <c r="B10" s="8">
        <f t="shared" ref="B10" si="5">B5-B9</f>
        <v>17</v>
      </c>
      <c r="C10" s="4">
        <f t="shared" si="1"/>
        <v>19.040000000000003</v>
      </c>
      <c r="D10" s="4">
        <f t="shared" si="2"/>
        <v>20.944000000000006</v>
      </c>
      <c r="E10" s="4">
        <f t="shared" si="2"/>
        <v>23.03840000000001</v>
      </c>
      <c r="F10" s="4">
        <f t="shared" si="2"/>
        <v>25.342240000000015</v>
      </c>
      <c r="G10" s="4">
        <f t="shared" si="2"/>
        <v>27.87646400000002</v>
      </c>
      <c r="H10" s="4">
        <f t="shared" si="2"/>
        <v>30.664110400000023</v>
      </c>
      <c r="I10" s="4">
        <f t="shared" si="2"/>
        <v>33.730521440000025</v>
      </c>
      <c r="J10" s="4">
        <f t="shared" si="2"/>
        <v>37.103573584000031</v>
      </c>
      <c r="K10" s="4">
        <f t="shared" si="2"/>
        <v>40.813930942400034</v>
      </c>
    </row>
    <row r="11" spans="1:11" x14ac:dyDescent="0.3">
      <c r="A11" s="3" t="s">
        <v>20</v>
      </c>
      <c r="B11" s="4">
        <v>5</v>
      </c>
      <c r="C11" s="4">
        <f t="shared" si="1"/>
        <v>5.6000000000000005</v>
      </c>
      <c r="D11" s="4">
        <f t="shared" si="2"/>
        <v>6.160000000000001</v>
      </c>
      <c r="E11" s="4">
        <f t="shared" si="2"/>
        <v>6.7760000000000016</v>
      </c>
      <c r="F11" s="4">
        <f t="shared" si="2"/>
        <v>7.4536000000000024</v>
      </c>
      <c r="G11" s="4">
        <f t="shared" si="2"/>
        <v>8.1989600000000031</v>
      </c>
      <c r="H11" s="4">
        <f t="shared" si="2"/>
        <v>9.0188560000000049</v>
      </c>
      <c r="I11" s="4">
        <f t="shared" si="2"/>
        <v>9.9207416000000066</v>
      </c>
      <c r="J11" s="4">
        <f t="shared" si="2"/>
        <v>10.912815760000008</v>
      </c>
      <c r="K11" s="4">
        <f t="shared" si="2"/>
        <v>12.00409733600001</v>
      </c>
    </row>
    <row r="12" spans="1:11" x14ac:dyDescent="0.3">
      <c r="A12" s="5" t="s">
        <v>21</v>
      </c>
      <c r="B12" s="6">
        <f t="shared" ref="B12" si="6">B10-B11</f>
        <v>12</v>
      </c>
      <c r="C12" s="4">
        <f t="shared" si="1"/>
        <v>13.440000000000001</v>
      </c>
      <c r="D12" s="4">
        <f t="shared" si="2"/>
        <v>14.784000000000002</v>
      </c>
      <c r="E12" s="4">
        <f t="shared" si="2"/>
        <v>16.262400000000003</v>
      </c>
      <c r="F12" s="4">
        <f t="shared" si="2"/>
        <v>17.888640000000006</v>
      </c>
      <c r="G12" s="4">
        <f t="shared" si="2"/>
        <v>19.67750400000001</v>
      </c>
      <c r="H12" s="4">
        <f t="shared" si="2"/>
        <v>21.645254400000013</v>
      </c>
      <c r="I12" s="4">
        <f t="shared" si="2"/>
        <v>23.809779840000015</v>
      </c>
      <c r="J12" s="4">
        <f t="shared" si="2"/>
        <v>26.19075782400002</v>
      </c>
      <c r="K12" s="4">
        <f t="shared" si="2"/>
        <v>28.809833606400023</v>
      </c>
    </row>
    <row r="13" spans="1:11" x14ac:dyDescent="0.3">
      <c r="A13" s="3" t="s">
        <v>22</v>
      </c>
      <c r="B13" s="4">
        <f t="shared" ref="B13" si="7">B12*0.25</f>
        <v>3</v>
      </c>
      <c r="C13" s="4">
        <f t="shared" si="1"/>
        <v>3.3600000000000003</v>
      </c>
      <c r="D13" s="4">
        <f t="shared" si="2"/>
        <v>3.6960000000000006</v>
      </c>
      <c r="E13" s="4">
        <f t="shared" si="2"/>
        <v>4.0656000000000008</v>
      </c>
      <c r="F13" s="4">
        <f t="shared" si="2"/>
        <v>4.4721600000000015</v>
      </c>
      <c r="G13" s="4">
        <f t="shared" si="2"/>
        <v>4.9193760000000024</v>
      </c>
      <c r="H13" s="4">
        <f t="shared" si="2"/>
        <v>5.4113136000000033</v>
      </c>
      <c r="I13" s="4">
        <f t="shared" si="2"/>
        <v>5.9524449600000038</v>
      </c>
      <c r="J13" s="4">
        <f t="shared" si="2"/>
        <v>6.547689456000005</v>
      </c>
      <c r="K13" s="4">
        <f t="shared" si="2"/>
        <v>7.2024584016000057</v>
      </c>
    </row>
    <row r="14" spans="1:11" x14ac:dyDescent="0.3">
      <c r="A14" s="7" t="s">
        <v>23</v>
      </c>
      <c r="B14" s="9">
        <f t="shared" ref="B14" si="8">B12-B13</f>
        <v>9</v>
      </c>
      <c r="C14" s="4">
        <f t="shared" si="1"/>
        <v>10.080000000000002</v>
      </c>
      <c r="D14" s="4">
        <f t="shared" si="2"/>
        <v>11.088000000000003</v>
      </c>
      <c r="E14" s="4">
        <f t="shared" si="2"/>
        <v>12.196800000000003</v>
      </c>
      <c r="F14" s="4">
        <f t="shared" si="2"/>
        <v>13.416480000000005</v>
      </c>
      <c r="G14" s="4">
        <f t="shared" si="2"/>
        <v>14.758128000000006</v>
      </c>
      <c r="H14" s="4">
        <f t="shared" si="2"/>
        <v>16.23394080000001</v>
      </c>
      <c r="I14" s="4">
        <f t="shared" si="2"/>
        <v>17.857334880000014</v>
      </c>
      <c r="J14" s="4">
        <f t="shared" si="2"/>
        <v>19.643068368000016</v>
      </c>
      <c r="K14" s="4">
        <f t="shared" si="2"/>
        <v>21.607375204800018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0"/>
  <sheetViews>
    <sheetView workbookViewId="0">
      <pane xSplit="1" ySplit="1" topLeftCell="B2" activePane="bottomRight" state="frozen"/>
      <selection pane="topRight"/>
      <selection pane="bottomLeft"/>
      <selection pane="bottomRight" activeCell="D14" sqref="D14"/>
    </sheetView>
  </sheetViews>
  <sheetFormatPr defaultRowHeight="14.4" x14ac:dyDescent="0.3"/>
  <cols>
    <col min="1" max="1" width="36" customWidth="1"/>
    <col min="2" max="9" width="15" customWidth="1"/>
  </cols>
  <sheetData>
    <row r="1" spans="1:1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10</v>
      </c>
      <c r="K1" s="2" t="s">
        <v>11</v>
      </c>
    </row>
    <row r="2" spans="1:11" x14ac:dyDescent="0.3">
      <c r="A2" s="1"/>
      <c r="B2" s="12" t="s">
        <v>9</v>
      </c>
      <c r="C2" s="12" t="s">
        <v>9</v>
      </c>
      <c r="D2" s="12" t="s">
        <v>9</v>
      </c>
      <c r="E2" s="12" t="s">
        <v>9</v>
      </c>
      <c r="F2" s="12" t="s">
        <v>9</v>
      </c>
      <c r="G2" s="12" t="s">
        <v>9</v>
      </c>
      <c r="H2" s="12" t="s">
        <v>9</v>
      </c>
      <c r="I2" s="12" t="s">
        <v>9</v>
      </c>
      <c r="J2" s="12" t="s">
        <v>9</v>
      </c>
      <c r="K2" s="12" t="s">
        <v>9</v>
      </c>
    </row>
    <row r="3" spans="1:11" x14ac:dyDescent="0.3">
      <c r="A3" s="3" t="s">
        <v>24</v>
      </c>
      <c r="B3" s="6">
        <v>5200</v>
      </c>
      <c r="C3" s="6">
        <v>5200</v>
      </c>
      <c r="D3" s="6">
        <v>6000</v>
      </c>
      <c r="E3" s="6">
        <v>6100</v>
      </c>
      <c r="F3" s="6">
        <v>7000</v>
      </c>
      <c r="G3" s="6">
        <v>7100</v>
      </c>
      <c r="H3" s="6">
        <v>8200</v>
      </c>
      <c r="I3" s="6">
        <v>8400</v>
      </c>
      <c r="J3" s="6">
        <f t="shared" ref="J3:K17" si="0">I3*110%</f>
        <v>9240</v>
      </c>
      <c r="K3" s="6">
        <f t="shared" si="0"/>
        <v>10164</v>
      </c>
    </row>
    <row r="4" spans="1:11" x14ac:dyDescent="0.3">
      <c r="A4" s="5" t="s">
        <v>25</v>
      </c>
      <c r="B4" s="4">
        <v>3100</v>
      </c>
      <c r="C4" s="4">
        <v>3500</v>
      </c>
      <c r="D4" s="4">
        <v>3500</v>
      </c>
      <c r="E4" s="4">
        <v>3900</v>
      </c>
      <c r="F4" s="4">
        <v>3900</v>
      </c>
      <c r="G4" s="4">
        <v>4300</v>
      </c>
      <c r="H4" s="4">
        <v>4300</v>
      </c>
      <c r="I4" s="4">
        <v>4700</v>
      </c>
      <c r="J4" s="6">
        <f t="shared" si="0"/>
        <v>5170</v>
      </c>
      <c r="K4" s="6">
        <f t="shared" si="0"/>
        <v>5687.0000000000009</v>
      </c>
    </row>
    <row r="5" spans="1:11" x14ac:dyDescent="0.3">
      <c r="A5" s="7" t="s">
        <v>26</v>
      </c>
      <c r="B5" s="6">
        <v>2000</v>
      </c>
      <c r="C5" s="6">
        <v>2250</v>
      </c>
      <c r="D5" s="6">
        <v>2200</v>
      </c>
      <c r="E5" s="6">
        <v>2350</v>
      </c>
      <c r="F5" s="6">
        <v>2350</v>
      </c>
      <c r="G5" s="6">
        <v>2500</v>
      </c>
      <c r="H5" s="6">
        <v>2450</v>
      </c>
      <c r="I5" s="6">
        <v>2600</v>
      </c>
      <c r="J5" s="6">
        <f t="shared" si="0"/>
        <v>2860.0000000000005</v>
      </c>
      <c r="K5" s="6">
        <f t="shared" si="0"/>
        <v>3146.0000000000009</v>
      </c>
    </row>
    <row r="6" spans="1:11" x14ac:dyDescent="0.3">
      <c r="A6" s="5" t="s">
        <v>27</v>
      </c>
      <c r="B6" s="8">
        <f t="shared" ref="B6:I6" si="1">SUM(B3:B5)</f>
        <v>10300</v>
      </c>
      <c r="C6" s="8">
        <f t="shared" si="1"/>
        <v>10950</v>
      </c>
      <c r="D6" s="8">
        <f t="shared" si="1"/>
        <v>11700</v>
      </c>
      <c r="E6" s="8">
        <f t="shared" si="1"/>
        <v>12350</v>
      </c>
      <c r="F6" s="8">
        <f t="shared" si="1"/>
        <v>13250</v>
      </c>
      <c r="G6" s="8">
        <f t="shared" si="1"/>
        <v>13900</v>
      </c>
      <c r="H6" s="8">
        <f t="shared" si="1"/>
        <v>14950</v>
      </c>
      <c r="I6" s="8">
        <f t="shared" si="1"/>
        <v>15700</v>
      </c>
      <c r="J6" s="6">
        <f t="shared" si="0"/>
        <v>17270</v>
      </c>
      <c r="K6" s="6">
        <f t="shared" si="0"/>
        <v>18997</v>
      </c>
    </row>
    <row r="7" spans="1:11" x14ac:dyDescent="0.3">
      <c r="A7" s="3" t="s">
        <v>28</v>
      </c>
      <c r="B7" s="6">
        <v>12000</v>
      </c>
      <c r="C7" s="6">
        <v>11800</v>
      </c>
      <c r="D7" s="6">
        <v>11600</v>
      </c>
      <c r="E7" s="6">
        <v>11400</v>
      </c>
      <c r="F7" s="6">
        <v>12500</v>
      </c>
      <c r="G7" s="6">
        <v>12300</v>
      </c>
      <c r="H7" s="6">
        <v>12100</v>
      </c>
      <c r="I7" s="6">
        <v>11900</v>
      </c>
      <c r="J7" s="6">
        <f t="shared" si="0"/>
        <v>13090.000000000002</v>
      </c>
      <c r="K7" s="6">
        <f t="shared" si="0"/>
        <v>14399.000000000004</v>
      </c>
    </row>
    <row r="8" spans="1:11" x14ac:dyDescent="0.3">
      <c r="A8" s="7" t="s">
        <v>29</v>
      </c>
      <c r="B8" s="4">
        <v>4500</v>
      </c>
      <c r="C8" s="4">
        <v>4500</v>
      </c>
      <c r="D8" s="4">
        <v>4500</v>
      </c>
      <c r="E8" s="4">
        <v>4500</v>
      </c>
      <c r="F8" s="4">
        <v>4500</v>
      </c>
      <c r="G8" s="4">
        <v>4500</v>
      </c>
      <c r="H8" s="4">
        <v>4500</v>
      </c>
      <c r="I8" s="4">
        <v>4500</v>
      </c>
      <c r="J8" s="6">
        <f t="shared" si="0"/>
        <v>4950</v>
      </c>
      <c r="K8" s="6">
        <f t="shared" si="0"/>
        <v>5445</v>
      </c>
    </row>
    <row r="9" spans="1:11" x14ac:dyDescent="0.3">
      <c r="A9" s="7" t="s">
        <v>30</v>
      </c>
      <c r="B9" s="8">
        <f t="shared" ref="B9:I9" si="2">SUM(B7:B8)</f>
        <v>16500</v>
      </c>
      <c r="C9" s="8">
        <f t="shared" si="2"/>
        <v>16300</v>
      </c>
      <c r="D9" s="8">
        <f t="shared" si="2"/>
        <v>16100</v>
      </c>
      <c r="E9" s="8">
        <f t="shared" si="2"/>
        <v>15900</v>
      </c>
      <c r="F9" s="8">
        <f t="shared" si="2"/>
        <v>17000</v>
      </c>
      <c r="G9" s="8">
        <f t="shared" si="2"/>
        <v>16800</v>
      </c>
      <c r="H9" s="8">
        <f t="shared" si="2"/>
        <v>16600</v>
      </c>
      <c r="I9" s="8">
        <f t="shared" si="2"/>
        <v>16400</v>
      </c>
      <c r="J9" s="6">
        <f t="shared" si="0"/>
        <v>18040</v>
      </c>
      <c r="K9" s="6">
        <f t="shared" si="0"/>
        <v>19844</v>
      </c>
    </row>
    <row r="10" spans="1:11" x14ac:dyDescent="0.3">
      <c r="A10" s="10" t="s">
        <v>31</v>
      </c>
      <c r="B10" s="9">
        <f t="shared" ref="B10:I10" si="3">B6+B9</f>
        <v>26800</v>
      </c>
      <c r="C10" s="9">
        <f t="shared" si="3"/>
        <v>27250</v>
      </c>
      <c r="D10" s="9">
        <f t="shared" si="3"/>
        <v>27800</v>
      </c>
      <c r="E10" s="9">
        <f t="shared" si="3"/>
        <v>28250</v>
      </c>
      <c r="F10" s="9">
        <f t="shared" si="3"/>
        <v>30250</v>
      </c>
      <c r="G10" s="9">
        <f t="shared" si="3"/>
        <v>30700</v>
      </c>
      <c r="H10" s="9">
        <f t="shared" si="3"/>
        <v>31550</v>
      </c>
      <c r="I10" s="9">
        <f t="shared" si="3"/>
        <v>32100</v>
      </c>
      <c r="J10" s="6">
        <f t="shared" si="0"/>
        <v>35310</v>
      </c>
      <c r="K10" s="6">
        <f t="shared" si="0"/>
        <v>38841</v>
      </c>
    </row>
    <row r="11" spans="1:11" x14ac:dyDescent="0.3">
      <c r="A11" s="5" t="s">
        <v>32</v>
      </c>
      <c r="B11" s="4">
        <v>2300</v>
      </c>
      <c r="C11" s="4">
        <v>2600</v>
      </c>
      <c r="D11" s="4">
        <v>2500</v>
      </c>
      <c r="E11" s="4">
        <v>2800</v>
      </c>
      <c r="F11" s="4">
        <v>2700</v>
      </c>
      <c r="G11" s="4">
        <v>3000</v>
      </c>
      <c r="H11" s="4">
        <v>2900</v>
      </c>
      <c r="I11" s="4">
        <v>3200</v>
      </c>
      <c r="J11" s="6">
        <f t="shared" si="0"/>
        <v>3520.0000000000005</v>
      </c>
      <c r="K11" s="6">
        <f t="shared" si="0"/>
        <v>3872.0000000000009</v>
      </c>
    </row>
    <row r="12" spans="1:11" x14ac:dyDescent="0.3">
      <c r="A12" s="3" t="s">
        <v>33</v>
      </c>
      <c r="B12" s="6">
        <v>1000</v>
      </c>
      <c r="C12" s="6">
        <v>1000</v>
      </c>
      <c r="D12" s="6">
        <v>800</v>
      </c>
      <c r="E12" s="6">
        <v>800</v>
      </c>
      <c r="F12" s="6">
        <v>600</v>
      </c>
      <c r="G12" s="6">
        <v>600</v>
      </c>
      <c r="H12" s="6">
        <v>500</v>
      </c>
      <c r="I12" s="6">
        <v>500</v>
      </c>
      <c r="J12" s="6">
        <f t="shared" si="0"/>
        <v>550</v>
      </c>
      <c r="K12" s="6">
        <f t="shared" si="0"/>
        <v>605</v>
      </c>
    </row>
    <row r="13" spans="1:11" x14ac:dyDescent="0.3">
      <c r="A13" s="7" t="s">
        <v>34</v>
      </c>
      <c r="B13" s="4">
        <v>1150</v>
      </c>
      <c r="C13" s="4">
        <v>1300</v>
      </c>
      <c r="D13" s="4">
        <v>1250</v>
      </c>
      <c r="E13" s="4">
        <v>1400</v>
      </c>
      <c r="F13" s="4">
        <v>1350</v>
      </c>
      <c r="G13" s="4">
        <v>1500</v>
      </c>
      <c r="H13" s="4">
        <v>1450</v>
      </c>
      <c r="I13" s="4">
        <v>1600</v>
      </c>
      <c r="J13" s="6">
        <f t="shared" si="0"/>
        <v>1760.0000000000002</v>
      </c>
      <c r="K13" s="6">
        <f t="shared" si="0"/>
        <v>1936.0000000000005</v>
      </c>
    </row>
    <row r="14" spans="1:11" x14ac:dyDescent="0.3">
      <c r="A14" s="3" t="s">
        <v>35</v>
      </c>
      <c r="B14" s="8">
        <f t="shared" ref="B14:I14" si="4">SUM(B11:B13)</f>
        <v>4450</v>
      </c>
      <c r="C14" s="8">
        <f t="shared" si="4"/>
        <v>4900</v>
      </c>
      <c r="D14" s="8">
        <f t="shared" si="4"/>
        <v>4550</v>
      </c>
      <c r="E14" s="8">
        <f t="shared" si="4"/>
        <v>5000</v>
      </c>
      <c r="F14" s="8">
        <f t="shared" si="4"/>
        <v>4650</v>
      </c>
      <c r="G14" s="8">
        <f t="shared" si="4"/>
        <v>5100</v>
      </c>
      <c r="H14" s="8">
        <f t="shared" si="4"/>
        <v>4850</v>
      </c>
      <c r="I14" s="8">
        <f t="shared" si="4"/>
        <v>5300</v>
      </c>
      <c r="J14" s="6">
        <f t="shared" si="0"/>
        <v>5830.0000000000009</v>
      </c>
      <c r="K14" s="6">
        <f t="shared" si="0"/>
        <v>6413.0000000000018</v>
      </c>
    </row>
    <row r="15" spans="1:11" x14ac:dyDescent="0.3">
      <c r="A15" s="7" t="s">
        <v>36</v>
      </c>
      <c r="B15" s="4">
        <v>8000</v>
      </c>
      <c r="C15" s="4">
        <v>7800</v>
      </c>
      <c r="D15" s="4">
        <v>7600</v>
      </c>
      <c r="E15" s="4">
        <v>7400</v>
      </c>
      <c r="F15" s="4">
        <v>7200</v>
      </c>
      <c r="G15" s="4">
        <v>7000</v>
      </c>
      <c r="H15" s="4">
        <v>6800</v>
      </c>
      <c r="I15" s="4">
        <v>6600</v>
      </c>
      <c r="J15" s="6">
        <f t="shared" si="0"/>
        <v>7260.0000000000009</v>
      </c>
      <c r="K15" s="6">
        <f t="shared" si="0"/>
        <v>7986.0000000000018</v>
      </c>
    </row>
    <row r="16" spans="1:11" x14ac:dyDescent="0.3">
      <c r="A16" s="3" t="s">
        <v>37</v>
      </c>
      <c r="B16" s="8">
        <f t="shared" ref="B16:I16" si="5">B14+B15</f>
        <v>12450</v>
      </c>
      <c r="C16" s="8">
        <f t="shared" si="5"/>
        <v>12700</v>
      </c>
      <c r="D16" s="8">
        <f t="shared" si="5"/>
        <v>12150</v>
      </c>
      <c r="E16" s="8">
        <f t="shared" si="5"/>
        <v>12400</v>
      </c>
      <c r="F16" s="8">
        <f t="shared" si="5"/>
        <v>11850</v>
      </c>
      <c r="G16" s="8">
        <f t="shared" si="5"/>
        <v>12100</v>
      </c>
      <c r="H16" s="8">
        <f t="shared" si="5"/>
        <v>11650</v>
      </c>
      <c r="I16" s="8">
        <f t="shared" si="5"/>
        <v>11900</v>
      </c>
      <c r="J16" s="6">
        <f t="shared" si="0"/>
        <v>13090.000000000002</v>
      </c>
      <c r="K16" s="6">
        <f t="shared" si="0"/>
        <v>14399.000000000004</v>
      </c>
    </row>
    <row r="17" spans="1:11" x14ac:dyDescent="0.3">
      <c r="A17" s="5" t="s">
        <v>38</v>
      </c>
      <c r="B17" s="4">
        <v>5000</v>
      </c>
      <c r="C17" s="4">
        <v>5000</v>
      </c>
      <c r="D17" s="4">
        <v>5000</v>
      </c>
      <c r="E17" s="4">
        <v>5000</v>
      </c>
      <c r="F17" s="4">
        <v>5000</v>
      </c>
      <c r="G17" s="4">
        <v>5000</v>
      </c>
      <c r="H17" s="4">
        <v>5000</v>
      </c>
      <c r="I17" s="4">
        <v>5000</v>
      </c>
      <c r="J17" s="6">
        <f t="shared" si="0"/>
        <v>5500</v>
      </c>
      <c r="K17" s="6">
        <f t="shared" si="0"/>
        <v>6050.0000000000009</v>
      </c>
    </row>
    <row r="18" spans="1:11" x14ac:dyDescent="0.3">
      <c r="A18" s="7" t="s">
        <v>39</v>
      </c>
      <c r="B18" s="6">
        <v>9350</v>
      </c>
      <c r="C18" s="6">
        <v>9550</v>
      </c>
      <c r="D18" s="6">
        <v>10650</v>
      </c>
      <c r="E18" s="6">
        <v>11050</v>
      </c>
      <c r="F18" s="6">
        <v>12400</v>
      </c>
      <c r="G18" s="6">
        <v>12800</v>
      </c>
      <c r="H18" s="6">
        <v>14700</v>
      </c>
      <c r="I18" s="6">
        <v>15300</v>
      </c>
      <c r="J18" s="6">
        <f t="shared" ref="J18:K20" si="6">I18*110%</f>
        <v>16830</v>
      </c>
      <c r="K18" s="6">
        <f t="shared" si="6"/>
        <v>18513</v>
      </c>
    </row>
    <row r="19" spans="1:11" x14ac:dyDescent="0.3">
      <c r="A19" s="7" t="s">
        <v>40</v>
      </c>
      <c r="B19" s="8">
        <f t="shared" ref="B19:I19" si="7">SUM(B17:B18)</f>
        <v>14350</v>
      </c>
      <c r="C19" s="8">
        <f t="shared" si="7"/>
        <v>14550</v>
      </c>
      <c r="D19" s="8">
        <f t="shared" si="7"/>
        <v>15650</v>
      </c>
      <c r="E19" s="8">
        <f t="shared" si="7"/>
        <v>16050</v>
      </c>
      <c r="F19" s="8">
        <f t="shared" si="7"/>
        <v>17400</v>
      </c>
      <c r="G19" s="8">
        <f t="shared" si="7"/>
        <v>17800</v>
      </c>
      <c r="H19" s="8">
        <f t="shared" si="7"/>
        <v>19700</v>
      </c>
      <c r="I19" s="8">
        <f t="shared" si="7"/>
        <v>20300</v>
      </c>
      <c r="J19" s="6">
        <f t="shared" si="6"/>
        <v>22330</v>
      </c>
      <c r="K19" s="6">
        <f t="shared" si="6"/>
        <v>24563.000000000004</v>
      </c>
    </row>
    <row r="20" spans="1:11" x14ac:dyDescent="0.3">
      <c r="A20" t="s">
        <v>41</v>
      </c>
      <c r="B20" s="9">
        <f t="shared" ref="B20:I20" si="8">B16+B19</f>
        <v>26800</v>
      </c>
      <c r="C20" s="9">
        <f t="shared" si="8"/>
        <v>27250</v>
      </c>
      <c r="D20" s="9">
        <f t="shared" si="8"/>
        <v>27800</v>
      </c>
      <c r="E20" s="9">
        <f t="shared" si="8"/>
        <v>28450</v>
      </c>
      <c r="F20" s="9">
        <f t="shared" si="8"/>
        <v>29250</v>
      </c>
      <c r="G20" s="9">
        <f t="shared" si="8"/>
        <v>29900</v>
      </c>
      <c r="H20" s="9">
        <f t="shared" si="8"/>
        <v>31350</v>
      </c>
      <c r="I20" s="9">
        <f t="shared" si="8"/>
        <v>32200</v>
      </c>
      <c r="J20" s="6">
        <f t="shared" si="6"/>
        <v>35420</v>
      </c>
      <c r="K20" s="6">
        <f t="shared" si="6"/>
        <v>38962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 Statement</vt:lpstr>
      <vt:lpstr>Balance Sheet</vt:lpstr>
      <vt:lpstr>Budgeted Income Statement</vt:lpstr>
      <vt:lpstr>Budgeted Balance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Pradeep Pandey</cp:lastModifiedBy>
  <dcterms:created xsi:type="dcterms:W3CDTF">2026-09-21T08:05:22Z</dcterms:created>
  <dcterms:modified xsi:type="dcterms:W3CDTF">2026-09-24T08:08:00Z</dcterms:modified>
</cp:coreProperties>
</file>