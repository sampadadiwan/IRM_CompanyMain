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" sheetId="1" state="visible" r:id="rId3"/>
    <sheet name="BS" sheetId="2" state="visible" r:id="rId4"/>
    <sheet name="Operating 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<sst xmlns="http://schemas.openxmlformats.org/spreadsheetml/2006/main" count="51" uniqueCount="41">
  <si>
    <t xml:space="preserve">Demo Inc</t>
  </si>
  <si>
    <t xml:space="preserve">Rs mn</t>
  </si>
  <si>
    <t xml:space="preserve">No. of orders</t>
  </si>
  <si>
    <t xml:space="preserve">[# '000]</t>
  </si>
  <si>
    <t xml:space="preserve">Orders MoM Growth </t>
  </si>
  <si>
    <t xml:space="preserve">GMV</t>
  </si>
  <si>
    <t xml:space="preserve">[Rs mn]</t>
  </si>
  <si>
    <t xml:space="preserve">GMV MoM Growth </t>
  </si>
  <si>
    <t xml:space="preserve">[%]</t>
  </si>
  <si>
    <t xml:space="preserve">Take Rate</t>
  </si>
  <si>
    <t xml:space="preserve">Revenue</t>
  </si>
  <si>
    <t xml:space="preserve">Change MoM</t>
  </si>
  <si>
    <t xml:space="preserve">Cash backs/Discount</t>
  </si>
  <si>
    <t xml:space="preserve">Logistics</t>
  </si>
  <si>
    <t xml:space="preserve">Contribution</t>
  </si>
  <si>
    <t xml:space="preserve">Employee cost</t>
  </si>
  <si>
    <t xml:space="preserve">SG&amp;A</t>
  </si>
  <si>
    <t xml:space="preserve">Advertising</t>
  </si>
  <si>
    <t xml:space="preserve">EBITDA</t>
  </si>
  <si>
    <t xml:space="preserve">Balance Sheet</t>
  </si>
  <si>
    <t xml:space="preserve">Fixed Assets</t>
  </si>
  <si>
    <t xml:space="preserve">Inventory</t>
  </si>
  <si>
    <t xml:space="preserve">Receivables</t>
  </si>
  <si>
    <t xml:space="preserve">Cash / Bank</t>
  </si>
  <si>
    <t xml:space="preserve">Total Current Assets</t>
  </si>
  <si>
    <t xml:space="preserve">Payables</t>
  </si>
  <si>
    <t xml:space="preserve">Provisions</t>
  </si>
  <si>
    <t xml:space="preserve">Total Current Liabilities</t>
  </si>
  <si>
    <t xml:space="preserve">Net Current Assets</t>
  </si>
  <si>
    <t xml:space="preserve">Equity</t>
  </si>
  <si>
    <t xml:space="preserve">Reserves</t>
  </si>
  <si>
    <t xml:space="preserve">Net worth</t>
  </si>
  <si>
    <t xml:space="preserve">Short term borrowing</t>
  </si>
  <si>
    <t xml:space="preserve">Long term borrowing</t>
  </si>
  <si>
    <t xml:space="preserve">Total Borrowings</t>
  </si>
  <si>
    <t xml:space="preserve">Ace Limited</t>
  </si>
  <si>
    <t xml:space="preserve">No of employees</t>
  </si>
  <si>
    <t xml:space="preserve">Number of branches</t>
  </si>
  <si>
    <t xml:space="preserve">Number of distributors</t>
  </si>
  <si>
    <t xml:space="preserve">Returns %</t>
  </si>
  <si>
    <t xml:space="preserve">COD 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</si>
</sst>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/yy"/>
    <numFmt numFmtId="166" formatCode="dd/mm/yy"/>
    <numFmt numFmtId="167" formatCode="_ * #,##0.00_ ;_ * \-#,##0.00_ ;_ * \-??_ ;_ @_ "/>
    <numFmt numFmtId="168" formatCode="_ * #,##0.0_ ;_ * \-#,##0.0_ ;_ * \-??_ ;_ @_ "/>
    <numFmt numFmtId="169" formatCode="0%"/>
    <numFmt numFmtId="170" formatCode="_ * #,##0_ ;_ * \-#,##0_ ;_ * \-??_ ;_ @_ "/>
    <numFmt numFmtId="171" formatCode="0.00%"/>
    <numFmt numFmtId="172" formatCode="0.0%"/>
    <numFmt numFmtId="173" formatCode="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i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20" activeCellId="0" sqref="S2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8.53"/>
    <col collapsed="false" customWidth="true" hidden="false" outlineLevel="0" max="2" min="2" style="2" width="8.73"/>
    <col collapsed="false" customWidth="true" hidden="false" outlineLevel="0" max="6" min="3" style="1" width="8.79"/>
    <col collapsed="false" customWidth="true" hidden="false" outlineLevel="0" max="8" min="7" style="1" width="9.2"/>
    <col collapsed="false" customWidth="true" hidden="false" outlineLevel="0" max="20" min="9" style="1" width="8.79"/>
    <col collapsed="false" customWidth="true" hidden="false" outlineLevel="0" max="16384" min="16384" style="1" width="10.16"/>
  </cols>
  <sheetData>
    <row r="1" customFormat="false" ht="14.25" hidden="false" customHeight="false" outlineLevel="0" collapsed="false">
      <c r="A1" s="3" t="s">
        <v>0</v>
      </c>
    </row>
    <row r="2" customFormat="false" ht="14.25" hidden="false" customHeight="false" outlineLevel="0" collapsed="false">
      <c r="A2" s="4" t="s">
        <v>1</v>
      </c>
      <c r="B2" s="5"/>
      <c r="C2" s="6" t="n">
        <v>44197</v>
      </c>
      <c r="D2" s="6" t="n">
        <v>44228</v>
      </c>
      <c r="E2" s="6"/>
      <c r="F2" s="6" t="n">
        <v>44256</v>
      </c>
      <c r="G2" s="6" t="n">
        <v>44287</v>
      </c>
      <c r="H2" s="6" t="n">
        <v>44317</v>
      </c>
      <c r="I2" s="6" t="n">
        <v>44348</v>
      </c>
      <c r="J2" s="6" t="n">
        <v>44378</v>
      </c>
      <c r="K2" s="6" t="n">
        <v>44409</v>
      </c>
      <c r="L2" s="6" t="n">
        <v>44440</v>
      </c>
      <c r="M2" s="6" t="n">
        <v>44470</v>
      </c>
      <c r="N2" s="6" t="n">
        <v>44501</v>
      </c>
      <c r="O2" s="6" t="n">
        <v>44531</v>
      </c>
      <c r="P2" s="6" t="n">
        <v>44562</v>
      </c>
      <c r="Q2" s="6" t="n">
        <v>44593</v>
      </c>
      <c r="R2" s="6" t="n">
        <v>44621</v>
      </c>
      <c r="S2" s="6" t="n">
        <v>44652</v>
      </c>
      <c r="T2" s="6" t="n">
        <v>44682</v>
      </c>
      <c r="U2" s="7" t="n">
        <v>51257</v>
      </c>
    </row>
    <row r="4" customFormat="false" ht="14.25" hidden="false" customHeight="false" outlineLevel="0" collapsed="false">
      <c r="A4" s="1" t="s">
        <v>2</v>
      </c>
      <c r="B4" s="2" t="s">
        <v>3</v>
      </c>
      <c r="C4" s="1" t="n">
        <v>35.3</v>
      </c>
      <c r="D4" s="1" t="n">
        <v>39.7</v>
      </c>
      <c r="F4" s="1" t="n">
        <v>25.5</v>
      </c>
      <c r="G4" s="1" t="n">
        <v>38.6</v>
      </c>
      <c r="H4" s="8" t="n">
        <v>26.932</v>
      </c>
      <c r="I4" s="8" t="n">
        <v>24.7354</v>
      </c>
      <c r="J4" s="8" t="n">
        <v>55.0121179265659</v>
      </c>
      <c r="K4" s="8" t="n">
        <v>55.1732085399568</v>
      </c>
      <c r="L4" s="8" t="n">
        <v>23.716510674946</v>
      </c>
      <c r="M4" s="8" t="n">
        <v>23.3790556820213</v>
      </c>
      <c r="N4" s="8" t="n">
        <v>66.7447176521189</v>
      </c>
      <c r="O4" s="8" t="n">
        <v>42.5759901556565</v>
      </c>
      <c r="P4" s="8" t="n">
        <v>3845.23853516273</v>
      </c>
      <c r="Q4" s="8" t="n">
        <v>98.6635737402249</v>
      </c>
      <c r="R4" s="8" t="n">
        <v>47.6512087614508</v>
      </c>
      <c r="S4" s="8" t="n">
        <v>51.9792614286512</v>
      </c>
      <c r="T4" s="8" t="n">
        <v>33.9980660800998</v>
      </c>
      <c r="U4" s="8" t="n">
        <v>25</v>
      </c>
    </row>
    <row r="5" customFormat="false" ht="14.25" hidden="false" customHeight="false" outlineLevel="0" collapsed="false">
      <c r="A5" s="4" t="s">
        <v>4</v>
      </c>
      <c r="C5" s="9" t="n">
        <v>0.1</v>
      </c>
      <c r="D5" s="10" t="n">
        <v>0.124645892351275</v>
      </c>
      <c r="E5" s="10"/>
      <c r="F5" s="10" t="n">
        <v>0.146095717884131</v>
      </c>
      <c r="G5" s="10" t="n">
        <v>-0.151648351648352</v>
      </c>
      <c r="H5" s="10" t="n">
        <v>-0.38</v>
      </c>
      <c r="I5" s="10" t="n">
        <v>-0.05</v>
      </c>
      <c r="J5" s="10" t="n">
        <v>0.0561555075593954</v>
      </c>
      <c r="K5" s="10" t="n">
        <v>0.09</v>
      </c>
      <c r="L5" s="10" t="n">
        <v>0.25</v>
      </c>
      <c r="M5" s="10" t="n">
        <v>0.0508166969147006</v>
      </c>
      <c r="N5" s="10" t="n">
        <v>0.0397236614853196</v>
      </c>
      <c r="O5" s="10" t="n">
        <v>0.0232558139534884</v>
      </c>
      <c r="P5" s="10" t="n">
        <v>0.0454545454545454</v>
      </c>
      <c r="Q5" s="10" t="n">
        <v>0.0372670807453415</v>
      </c>
      <c r="R5" s="10" t="n">
        <v>0.125748502994012</v>
      </c>
      <c r="S5" s="10" t="n">
        <v>-0.0598404255319149</v>
      </c>
      <c r="T5" s="10" t="n">
        <v>0.048090523338048</v>
      </c>
      <c r="U5" s="10" t="n">
        <v>0.1</v>
      </c>
    </row>
    <row r="7" customFormat="false" ht="14.25" hidden="false" customHeight="false" outlineLevel="0" collapsed="false">
      <c r="A7" s="1" t="s">
        <v>5</v>
      </c>
      <c r="B7" s="2" t="s">
        <v>6</v>
      </c>
      <c r="C7" s="11" t="n">
        <v>12496.2</v>
      </c>
      <c r="D7" s="11" t="n">
        <v>14053.8</v>
      </c>
      <c r="E7" s="11"/>
      <c r="F7" s="11" t="n">
        <v>16289</v>
      </c>
      <c r="G7" s="11" t="n">
        <v>13278.4</v>
      </c>
      <c r="H7" s="11" t="n">
        <v>7945.424</v>
      </c>
      <c r="I7" s="11" t="n">
        <v>8048.3316</v>
      </c>
      <c r="J7" s="11" t="n">
        <v>8020.047387473</v>
      </c>
      <c r="K7" s="11" t="n">
        <v>9396.1818658445</v>
      </c>
      <c r="L7" s="11" t="n">
        <v>11516.211757581</v>
      </c>
      <c r="M7" s="11" t="n">
        <v>11654.4998762052</v>
      </c>
      <c r="N7" s="11" t="n">
        <v>13189.8008136319</v>
      </c>
      <c r="O7" s="11" t="n">
        <v>13569.6923477486</v>
      </c>
      <c r="P7" s="11" t="n">
        <v>14148.2580102108</v>
      </c>
      <c r="Q7" s="11" t="n">
        <v>14635.858710143</v>
      </c>
      <c r="R7" s="11" t="n">
        <v>16610.2496592597</v>
      </c>
      <c r="S7" s="11" t="n">
        <v>15658.2645128869</v>
      </c>
      <c r="T7" s="11" t="n">
        <v>16411.2786478772</v>
      </c>
      <c r="U7" s="11" t="n">
        <v>20000</v>
      </c>
    </row>
    <row r="8" customFormat="false" ht="14.25" hidden="false" customHeight="false" outlineLevel="0" collapsed="false">
      <c r="A8" s="4" t="s">
        <v>7</v>
      </c>
      <c r="B8" s="2" t="s">
        <v>8</v>
      </c>
      <c r="C8" s="9" t="n">
        <v>0.11</v>
      </c>
      <c r="D8" s="10" t="n">
        <v>0.124645892351275</v>
      </c>
      <c r="E8" s="10"/>
      <c r="F8" s="10" t="n">
        <v>0.159045951984517</v>
      </c>
      <c r="G8" s="10" t="n">
        <v>-0.184824114433053</v>
      </c>
      <c r="H8" s="10" t="n">
        <v>-0.401627906976744</v>
      </c>
      <c r="I8" s="10" t="n">
        <v>0.0129518072289156</v>
      </c>
      <c r="J8" s="10" t="n">
        <v>-0.00351429512757617</v>
      </c>
      <c r="K8" s="10" t="n">
        <v>0.171586826347306</v>
      </c>
      <c r="L8" s="10" t="n">
        <v>0.225626740947075</v>
      </c>
      <c r="M8" s="10" t="n">
        <v>0.0120081257218281</v>
      </c>
      <c r="N8" s="10" t="n">
        <v>0.131734604979596</v>
      </c>
      <c r="O8" s="10" t="n">
        <v>0.0288019159261359</v>
      </c>
      <c r="P8" s="10" t="n">
        <v>0.0426366086743444</v>
      </c>
      <c r="Q8" s="10" t="n">
        <v>0.0344636562027865</v>
      </c>
      <c r="R8" s="10" t="n">
        <v>0.134900929847622</v>
      </c>
      <c r="S8" s="10" t="n">
        <v>-0.0573131148478609</v>
      </c>
      <c r="T8" s="10" t="n">
        <v>0.048090523338048</v>
      </c>
      <c r="U8" s="10" t="n">
        <v>0.048090523338048</v>
      </c>
    </row>
    <row r="10" customFormat="false" ht="14.25" hidden="false" customHeight="false" outlineLevel="0" collapsed="false">
      <c r="A10" s="1" t="s">
        <v>9</v>
      </c>
      <c r="B10" s="2" t="s">
        <v>8</v>
      </c>
      <c r="C10" s="12" t="n">
        <v>0.122</v>
      </c>
      <c r="D10" s="12" t="n">
        <v>0.1221</v>
      </c>
      <c r="E10" s="12"/>
      <c r="F10" s="12" t="n">
        <v>0.121</v>
      </c>
      <c r="G10" s="12" t="n">
        <v>0.125</v>
      </c>
      <c r="H10" s="12" t="n">
        <v>0.1251</v>
      </c>
      <c r="I10" s="12" t="n">
        <v>0.1252</v>
      </c>
      <c r="J10" s="12" t="n">
        <v>0.127</v>
      </c>
      <c r="K10" s="12" t="n">
        <v>0.126</v>
      </c>
      <c r="L10" s="12" t="n">
        <v>0.1265</v>
      </c>
      <c r="M10" s="12" t="n">
        <v>0.1266</v>
      </c>
      <c r="N10" s="12" t="n">
        <v>0.125</v>
      </c>
      <c r="O10" s="12" t="n">
        <v>0.1245</v>
      </c>
      <c r="P10" s="12" t="n">
        <v>0.1252</v>
      </c>
      <c r="Q10" s="12" t="n">
        <v>0.1249</v>
      </c>
      <c r="R10" s="12" t="n">
        <v>0.1255</v>
      </c>
      <c r="S10" s="12" t="n">
        <v>0.1252</v>
      </c>
      <c r="T10" s="12" t="n">
        <v>0.1253</v>
      </c>
      <c r="U10" s="12" t="n">
        <v>0.1253</v>
      </c>
    </row>
    <row r="12" customFormat="false" ht="14.25" hidden="false" customHeight="false" outlineLevel="0" collapsed="false">
      <c r="A12" s="1" t="s">
        <v>10</v>
      </c>
      <c r="B12" s="2" t="s">
        <v>6</v>
      </c>
      <c r="C12" s="13" t="n">
        <v>1524.5364</v>
      </c>
      <c r="D12" s="13" t="n">
        <v>1715.96898</v>
      </c>
      <c r="E12" s="13"/>
      <c r="F12" s="13" t="n">
        <v>1830.969</v>
      </c>
      <c r="G12" s="13" t="n">
        <v>1629.8</v>
      </c>
      <c r="H12" s="13" t="n">
        <v>893.9725424</v>
      </c>
      <c r="I12" s="13" t="n">
        <v>1019.65111632</v>
      </c>
      <c r="J12" s="13" t="n">
        <v>1038.54601820907</v>
      </c>
      <c r="K12" s="13" t="n">
        <v>1083.91891509641</v>
      </c>
      <c r="L12" s="13" t="n">
        <v>1346.800787334</v>
      </c>
      <c r="M12" s="13" t="n">
        <v>1445.45968432758</v>
      </c>
      <c r="N12" s="13" t="n">
        <v>1666.72510170398</v>
      </c>
      <c r="O12" s="13" t="n">
        <v>1888.4266972947</v>
      </c>
      <c r="P12" s="13" t="n">
        <v>1777.36190287839</v>
      </c>
      <c r="Q12" s="13" t="n">
        <v>1222.01875289686</v>
      </c>
      <c r="R12" s="13" t="n">
        <v>2000.58633223709</v>
      </c>
      <c r="S12" s="13" t="n">
        <v>1999.41471701344</v>
      </c>
      <c r="T12" s="13" t="n">
        <v>2556.33321457902</v>
      </c>
      <c r="U12" s="13" t="n">
        <v>3000</v>
      </c>
    </row>
    <row r="13" customFormat="false" ht="14.25" hidden="false" customHeight="false" outlineLevel="0" collapsed="false">
      <c r="A13" s="4" t="s">
        <v>11</v>
      </c>
      <c r="C13" s="14" t="n">
        <v>0.128</v>
      </c>
      <c r="D13" s="15" t="n">
        <v>0.125567733246645</v>
      </c>
      <c r="E13" s="15"/>
      <c r="F13" s="15" t="n">
        <v>0.148604096561233</v>
      </c>
      <c r="G13" s="15" t="n">
        <v>-0.157876151273815</v>
      </c>
      <c r="H13" s="15" t="n">
        <v>-0.401149209302326</v>
      </c>
      <c r="I13" s="15" t="n">
        <v>0.0137615209037587</v>
      </c>
      <c r="J13" s="15" t="n">
        <v>0.0108121766677145</v>
      </c>
      <c r="K13" s="15" t="n">
        <v>0.162361733226461</v>
      </c>
      <c r="L13" s="15" t="n">
        <v>0.230490339125437</v>
      </c>
      <c r="M13" s="15" t="n">
        <v>0.0128081321453235</v>
      </c>
      <c r="N13" s="15" t="n">
        <v>0.117431482009869</v>
      </c>
      <c r="O13" s="15" t="n">
        <v>0.0246867082624314</v>
      </c>
      <c r="P13" s="15" t="n">
        <v>0.0484988225383769</v>
      </c>
      <c r="Q13" s="15" t="n">
        <v>0.0319849094227478</v>
      </c>
      <c r="R13" s="15" t="n">
        <v>0.140352815819668</v>
      </c>
      <c r="S13" s="15" t="n">
        <v>-0.0595665496330851</v>
      </c>
      <c r="T13" s="15" t="n">
        <v>0.0489276563439089</v>
      </c>
      <c r="U13" s="15" t="n">
        <v>0.0489276563439089</v>
      </c>
    </row>
    <row r="15" customFormat="false" ht="14.25" hidden="false" customHeight="false" outlineLevel="0" collapsed="false">
      <c r="A15" s="1" t="s">
        <v>12</v>
      </c>
      <c r="B15" s="2" t="s">
        <v>6</v>
      </c>
      <c r="C15" s="13" t="n">
        <v>249.924</v>
      </c>
      <c r="D15" s="13" t="n">
        <v>281.076</v>
      </c>
      <c r="E15" s="13"/>
      <c r="F15" s="13" t="n">
        <v>325.78</v>
      </c>
      <c r="G15" s="13" t="n">
        <v>265.568</v>
      </c>
      <c r="H15" s="13" t="n">
        <v>158.90848</v>
      </c>
      <c r="I15" s="13" t="n">
        <v>160.966632</v>
      </c>
      <c r="J15" s="13" t="n">
        <v>160.40094774946</v>
      </c>
      <c r="K15" s="13" t="n">
        <v>187.92363731689</v>
      </c>
      <c r="L15" s="13" t="n">
        <v>230.32423515162</v>
      </c>
      <c r="M15" s="13" t="n">
        <v>233.089997524105</v>
      </c>
      <c r="N15" s="13" t="n">
        <v>263.796016272637</v>
      </c>
      <c r="O15" s="13" t="n">
        <v>271.393846954971</v>
      </c>
      <c r="P15" s="13" t="n">
        <v>282.965160204215</v>
      </c>
      <c r="Q15" s="13" t="n">
        <v>292.71717420286</v>
      </c>
      <c r="R15" s="13" t="n">
        <v>332.204993185194</v>
      </c>
      <c r="S15" s="13" t="n">
        <v>313.165290257738</v>
      </c>
      <c r="T15" s="13" t="n">
        <v>328.225572957545</v>
      </c>
      <c r="U15" s="13" t="n">
        <v>400</v>
      </c>
    </row>
    <row r="17" customFormat="false" ht="14.25" hidden="false" customHeight="false" outlineLevel="0" collapsed="false">
      <c r="A17" s="1" t="s">
        <v>13</v>
      </c>
      <c r="B17" s="2" t="s">
        <v>6</v>
      </c>
      <c r="C17" s="16" t="n">
        <v>124.962</v>
      </c>
      <c r="D17" s="16" t="n">
        <v>140.538</v>
      </c>
      <c r="E17" s="16"/>
      <c r="F17" s="16" t="n">
        <v>162.89</v>
      </c>
      <c r="G17" s="16" t="n">
        <v>132.784</v>
      </c>
      <c r="H17" s="16" t="n">
        <v>79.45424</v>
      </c>
      <c r="I17" s="16" t="n">
        <v>80.483316</v>
      </c>
      <c r="J17" s="16" t="n">
        <v>80.20047387473</v>
      </c>
      <c r="K17" s="16" t="n">
        <v>93.961818658445</v>
      </c>
      <c r="L17" s="16" t="n">
        <v>115.16211757581</v>
      </c>
      <c r="M17" s="16" t="n">
        <v>116.544998762052</v>
      </c>
      <c r="N17" s="16" t="n">
        <v>131.898008136319</v>
      </c>
      <c r="O17" s="16" t="n">
        <v>135.696923477486</v>
      </c>
      <c r="P17" s="16" t="n">
        <v>141.482580102108</v>
      </c>
      <c r="Q17" s="16" t="n">
        <v>146.35858710143</v>
      </c>
      <c r="R17" s="16" t="n">
        <v>166.102496592597</v>
      </c>
      <c r="S17" s="16" t="n">
        <v>156.582645128869</v>
      </c>
      <c r="T17" s="16" t="n">
        <v>164.112786478772</v>
      </c>
      <c r="U17" s="16" t="n">
        <v>164.112786478772</v>
      </c>
    </row>
    <row r="19" customFormat="false" ht="14.25" hidden="false" customHeight="false" outlineLevel="0" collapsed="false">
      <c r="A19" s="1" t="s">
        <v>14</v>
      </c>
      <c r="B19" s="2" t="s">
        <v>6</v>
      </c>
      <c r="C19" s="13" t="n">
        <v>1149.6504</v>
      </c>
      <c r="D19" s="13" t="n">
        <v>1294.35498</v>
      </c>
      <c r="E19" s="13"/>
      <c r="F19" s="13" t="n">
        <v>1482.299</v>
      </c>
      <c r="G19" s="13" t="n">
        <v>1261.448</v>
      </c>
      <c r="H19" s="13" t="n">
        <v>755.6098224</v>
      </c>
      <c r="I19" s="13" t="n">
        <v>766.20116832</v>
      </c>
      <c r="J19" s="13" t="n">
        <v>777.944596584881</v>
      </c>
      <c r="K19" s="13" t="n">
        <v>902.033459121072</v>
      </c>
      <c r="L19" s="13" t="n">
        <v>1111.31443460657</v>
      </c>
      <c r="M19" s="13" t="n">
        <v>1125.82468804142</v>
      </c>
      <c r="N19" s="13" t="n">
        <v>1253.03107729503</v>
      </c>
      <c r="O19" s="13" t="n">
        <v>1282.33592686224</v>
      </c>
      <c r="P19" s="13" t="n">
        <v>1346.91416257207</v>
      </c>
      <c r="Q19" s="13" t="n">
        <v>1388.94299159257</v>
      </c>
      <c r="R19" s="13" t="n">
        <v>1586.2788424593</v>
      </c>
      <c r="S19" s="13" t="n">
        <v>1490.66678162683</v>
      </c>
      <c r="T19" s="13" t="n">
        <v>1563.9948551427</v>
      </c>
      <c r="U19" s="13" t="n">
        <v>1563.9948551427</v>
      </c>
    </row>
    <row r="20" customFormat="false" ht="14.25" hidden="false" customHeight="false" outlineLevel="0" collapsed="false">
      <c r="C20" s="10" t="n">
        <v>0.754098360655738</v>
      </c>
      <c r="D20" s="10" t="n">
        <v>0.754299754299754</v>
      </c>
      <c r="E20" s="10"/>
      <c r="F20" s="10" t="n">
        <v>0.752066115702479</v>
      </c>
      <c r="G20" s="10" t="n">
        <v>0.76</v>
      </c>
      <c r="H20" s="10" t="n">
        <v>0.760191846522782</v>
      </c>
      <c r="I20" s="10" t="n">
        <v>0.76038338658147</v>
      </c>
      <c r="J20" s="10" t="n">
        <v>0.763779527559055</v>
      </c>
      <c r="K20" s="10" t="n">
        <v>0.761904761904762</v>
      </c>
      <c r="L20" s="10" t="n">
        <v>0.762845849802372</v>
      </c>
      <c r="M20" s="10" t="n">
        <v>0.76303317535545</v>
      </c>
      <c r="N20" s="10" t="n">
        <v>0.76</v>
      </c>
      <c r="O20" s="10" t="n">
        <v>0.759036144578313</v>
      </c>
      <c r="P20" s="10" t="n">
        <v>0.76038338658147</v>
      </c>
      <c r="Q20" s="10" t="n">
        <v>0.759807846277022</v>
      </c>
      <c r="R20" s="10" t="n">
        <v>0.760956175298805</v>
      </c>
      <c r="S20" s="10" t="n">
        <v>0.76038338658147</v>
      </c>
      <c r="T20" s="10" t="n">
        <v>0.760574620909816</v>
      </c>
      <c r="U20" s="10" t="n">
        <v>0.760574620909816</v>
      </c>
    </row>
    <row r="21" customFormat="false" ht="14.25" hidden="false" customHeight="false" outlineLevel="0" collapsed="false"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customFormat="false" ht="14.25" hidden="false" customHeight="false" outlineLevel="0" collapsed="false">
      <c r="A22" s="1" t="s">
        <v>15</v>
      </c>
      <c r="B22" s="2" t="s">
        <v>6</v>
      </c>
      <c r="C22" s="1" t="n">
        <v>550</v>
      </c>
      <c r="D22" s="1" t="n">
        <v>555</v>
      </c>
      <c r="F22" s="1" t="n">
        <v>560</v>
      </c>
      <c r="G22" s="1" t="n">
        <v>565</v>
      </c>
      <c r="H22" s="1" t="n">
        <v>570</v>
      </c>
      <c r="I22" s="1" t="n">
        <v>575</v>
      </c>
      <c r="J22" s="1" t="n">
        <v>580</v>
      </c>
      <c r="K22" s="1" t="n">
        <v>585</v>
      </c>
      <c r="L22" s="1" t="n">
        <v>590</v>
      </c>
      <c r="M22" s="1" t="n">
        <v>595</v>
      </c>
      <c r="N22" s="1" t="n">
        <v>600</v>
      </c>
      <c r="O22" s="1" t="n">
        <v>605</v>
      </c>
      <c r="P22" s="1" t="n">
        <v>610</v>
      </c>
      <c r="Q22" s="1" t="n">
        <v>615</v>
      </c>
      <c r="R22" s="1" t="n">
        <v>620</v>
      </c>
      <c r="S22" s="1" t="n">
        <v>625</v>
      </c>
      <c r="T22" s="1" t="n">
        <v>630</v>
      </c>
      <c r="U22" s="1" t="n">
        <v>630</v>
      </c>
    </row>
    <row r="23" customFormat="false" ht="14.25" hidden="false" customHeight="false" outlineLevel="0" collapsed="false">
      <c r="A23" s="1" t="s">
        <v>16</v>
      </c>
      <c r="B23" s="2" t="s">
        <v>6</v>
      </c>
      <c r="C23" s="1" t="n">
        <v>330</v>
      </c>
      <c r="D23" s="17" t="n">
        <v>331.65</v>
      </c>
      <c r="E23" s="17"/>
      <c r="F23" s="17" t="n">
        <v>333.30825</v>
      </c>
      <c r="G23" s="17" t="n">
        <v>334.97479125</v>
      </c>
      <c r="H23" s="17" t="n">
        <v>336.64966520625</v>
      </c>
      <c r="I23" s="17" t="n">
        <v>338.332913532281</v>
      </c>
      <c r="J23" s="17" t="n">
        <v>340.024578099942</v>
      </c>
      <c r="K23" s="17" t="n">
        <v>341.724700990442</v>
      </c>
      <c r="L23" s="17" t="n">
        <v>343.433324495394</v>
      </c>
      <c r="M23" s="17" t="n">
        <v>345.150491117871</v>
      </c>
      <c r="N23" s="17" t="n">
        <v>346.876243573461</v>
      </c>
      <c r="O23" s="17" t="n">
        <v>348.610624791328</v>
      </c>
      <c r="P23" s="17" t="n">
        <v>350.353677915284</v>
      </c>
      <c r="Q23" s="17" t="n">
        <v>352.105446304861</v>
      </c>
      <c r="R23" s="17" t="n">
        <v>353.865973536385</v>
      </c>
      <c r="S23" s="17" t="n">
        <v>355.635303404067</v>
      </c>
      <c r="T23" s="17" t="n">
        <v>357.413479921087</v>
      </c>
      <c r="U23" s="17" t="n">
        <v>357.413479921087</v>
      </c>
    </row>
    <row r="24" customFormat="false" ht="14.25" hidden="false" customHeight="false" outlineLevel="0" collapsed="false">
      <c r="A24" s="1" t="s">
        <v>17</v>
      </c>
      <c r="B24" s="2" t="s">
        <v>6</v>
      </c>
      <c r="C24" s="1" t="n">
        <v>400</v>
      </c>
      <c r="D24" s="1" t="n">
        <v>400</v>
      </c>
      <c r="F24" s="1" t="n">
        <v>500</v>
      </c>
      <c r="G24" s="1" t="n">
        <v>300</v>
      </c>
      <c r="H24" s="1" t="n">
        <v>150</v>
      </c>
      <c r="I24" s="1" t="n">
        <v>200</v>
      </c>
      <c r="J24" s="1" t="n">
        <v>325</v>
      </c>
      <c r="K24" s="1" t="n">
        <v>450</v>
      </c>
      <c r="L24" s="1" t="n">
        <v>450</v>
      </c>
      <c r="M24" s="1" t="n">
        <v>450</v>
      </c>
      <c r="N24" s="1" t="n">
        <v>450</v>
      </c>
      <c r="O24" s="1" t="n">
        <v>450</v>
      </c>
      <c r="P24" s="1" t="n">
        <v>450</v>
      </c>
      <c r="Q24" s="1" t="n">
        <v>475</v>
      </c>
      <c r="R24" s="1" t="n">
        <v>575</v>
      </c>
      <c r="S24" s="1" t="n">
        <v>300</v>
      </c>
      <c r="T24" s="1" t="n">
        <v>300</v>
      </c>
      <c r="U24" s="1" t="n">
        <v>300</v>
      </c>
    </row>
    <row r="27" customFormat="false" ht="14.25" hidden="false" customHeight="false" outlineLevel="0" collapsed="false">
      <c r="A27" s="1" t="s">
        <v>18</v>
      </c>
      <c r="B27" s="2" t="s">
        <v>6</v>
      </c>
      <c r="C27" s="13" t="n">
        <v>-130.3496</v>
      </c>
      <c r="D27" s="13" t="n">
        <v>7.70498000000009</v>
      </c>
      <c r="E27" s="13"/>
      <c r="F27" s="13" t="n">
        <v>88.9907500000001</v>
      </c>
      <c r="G27" s="13" t="n">
        <v>61.47320875</v>
      </c>
      <c r="H27" s="13" t="n">
        <v>-301.03984280625</v>
      </c>
      <c r="I27" s="13" t="n">
        <v>-347.131745212281</v>
      </c>
      <c r="J27" s="13" t="n">
        <v>-467.079981515061</v>
      </c>
      <c r="K27" s="13" t="n">
        <v>-474.691241869371</v>
      </c>
      <c r="L27" s="13" t="n">
        <v>-272.118889888828</v>
      </c>
      <c r="M27" s="13" t="n">
        <v>-264.325803076447</v>
      </c>
      <c r="N27" s="13" t="n">
        <v>-143.845166278433</v>
      </c>
      <c r="O27" s="13" t="n">
        <v>-121.274697929088</v>
      </c>
      <c r="P27" s="13" t="n">
        <v>-63.4395153432186</v>
      </c>
      <c r="Q27" s="13" t="n">
        <v>-53.1624547122904</v>
      </c>
      <c r="R27" s="13" t="n">
        <v>37.4128689229167</v>
      </c>
      <c r="S27" s="13" t="n">
        <v>210.031478222767</v>
      </c>
      <c r="T27" s="13" t="n">
        <v>276.581375221612</v>
      </c>
      <c r="U27" s="13" t="n">
        <v>276.581375221612</v>
      </c>
    </row>
    <row r="28" customFormat="false" ht="14.25" hidden="false" customHeight="false" outlineLevel="0" collapsed="false">
      <c r="C28" s="10" t="n">
        <v>-0.0855011398875096</v>
      </c>
      <c r="D28" s="10" t="n">
        <v>0.00449016275340834</v>
      </c>
      <c r="E28" s="10"/>
      <c r="F28" s="10" t="n">
        <v>0.0451507608693998</v>
      </c>
      <c r="G28" s="10" t="n">
        <v>0.037036515694662</v>
      </c>
      <c r="H28" s="10" t="n">
        <v>-0.30286535086711</v>
      </c>
      <c r="I28" s="10" t="n">
        <v>-0.344495966500813</v>
      </c>
      <c r="J28" s="10" t="n">
        <v>-0.458575236822718</v>
      </c>
      <c r="K28" s="10" t="n">
        <v>-0.400949115531883</v>
      </c>
      <c r="L28" s="10" t="n">
        <v>-0.186792107922193</v>
      </c>
      <c r="M28" s="10" t="n">
        <v>-0.179148102712755</v>
      </c>
      <c r="N28" s="10" t="n">
        <v>-0.087246300871969</v>
      </c>
      <c r="O28" s="10" t="n">
        <v>-0.0717845279249386</v>
      </c>
      <c r="P28" s="10" t="n">
        <v>-0.0358139775051795</v>
      </c>
      <c r="Q28" s="10" t="n">
        <v>-0.0290820072978156</v>
      </c>
      <c r="R28" s="10" t="n">
        <v>0.0179473828185215</v>
      </c>
      <c r="S28" s="10" t="n">
        <v>0.107136248468251</v>
      </c>
      <c r="T28" s="10" t="n">
        <v>0.134502216499107</v>
      </c>
      <c r="U28" s="10" t="n">
        <v>0.134502216499107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47"/>
  </cols>
  <sheetData>
    <row r="1" customFormat="false" ht="14.25" hidden="false" customHeight="false" outlineLevel="0" collapsed="false">
      <c r="A1" s="1" t="s">
        <v>19</v>
      </c>
      <c r="B1" s="2"/>
    </row>
    <row r="2" customFormat="false" ht="14.25" hidden="false" customHeight="false" outlineLevel="0" collapsed="false">
      <c r="A2" s="4" t="s">
        <v>1</v>
      </c>
      <c r="B2" s="5"/>
      <c r="C2" s="6" t="n">
        <v>44197</v>
      </c>
      <c r="D2" s="6" t="n">
        <v>44228</v>
      </c>
      <c r="E2" s="6" t="n">
        <v>44256</v>
      </c>
      <c r="F2" s="6" t="n">
        <v>44287</v>
      </c>
      <c r="G2" s="6" t="n">
        <v>44317</v>
      </c>
      <c r="H2" s="6" t="n">
        <v>44348</v>
      </c>
      <c r="I2" s="6" t="n">
        <v>44378</v>
      </c>
      <c r="J2" s="6" t="n">
        <v>44409</v>
      </c>
      <c r="K2" s="6" t="n">
        <v>44440</v>
      </c>
      <c r="L2" s="6" t="n">
        <v>44470</v>
      </c>
      <c r="M2" s="6" t="n">
        <v>44501</v>
      </c>
      <c r="N2" s="6" t="n">
        <v>44531</v>
      </c>
      <c r="O2" s="6" t="n">
        <v>44562</v>
      </c>
      <c r="P2" s="6" t="n">
        <v>44593</v>
      </c>
      <c r="Q2" s="6" t="n">
        <v>44621</v>
      </c>
      <c r="R2" s="6" t="n">
        <v>44652</v>
      </c>
      <c r="S2" s="6" t="n">
        <v>44682</v>
      </c>
    </row>
    <row r="4" customFormat="false" ht="14.25" hidden="false" customHeight="false" outlineLevel="0" collapsed="false">
      <c r="A4" s="1" t="s">
        <v>20</v>
      </c>
      <c r="C4" s="11" t="n">
        <v>4500</v>
      </c>
      <c r="D4" s="11" t="n">
        <f aca="false">C4*1.002</f>
        <v>4509</v>
      </c>
      <c r="E4" s="11" t="n">
        <f aca="false">D4*1.002</f>
        <v>4518.018</v>
      </c>
      <c r="F4" s="11" t="n">
        <f aca="false">E4*1.002</f>
        <v>4527.054036</v>
      </c>
      <c r="G4" s="11" t="n">
        <f aca="false">F4*1.002</f>
        <v>4536.108144072</v>
      </c>
      <c r="H4" s="11" t="n">
        <f aca="false">G4*1.002</f>
        <v>4545.18036036015</v>
      </c>
      <c r="I4" s="11" t="n">
        <f aca="false">H4*1.002</f>
        <v>4554.27072108087</v>
      </c>
      <c r="J4" s="11" t="n">
        <f aca="false">I4*1.002</f>
        <v>4563.37926252303</v>
      </c>
      <c r="K4" s="11" t="n">
        <f aca="false">J4*1.002</f>
        <v>4572.50602104807</v>
      </c>
      <c r="L4" s="11" t="n">
        <f aca="false">K4*1.002</f>
        <v>4581.65103309017</v>
      </c>
      <c r="M4" s="11" t="n">
        <f aca="false">L4*1.002</f>
        <v>4590.81433515635</v>
      </c>
      <c r="N4" s="11" t="n">
        <f aca="false">M4*1.002</f>
        <v>4599.99596382666</v>
      </c>
      <c r="O4" s="11" t="n">
        <f aca="false">N4*1.002</f>
        <v>4609.19595575431</v>
      </c>
      <c r="P4" s="11" t="n">
        <f aca="false">O4*1.002</f>
        <v>4618.41434766582</v>
      </c>
      <c r="Q4" s="11" t="n">
        <f aca="false">P4*1.002</f>
        <v>4627.65117636115</v>
      </c>
      <c r="R4" s="11" t="n">
        <f aca="false">Q4*1.002</f>
        <v>4636.90647871388</v>
      </c>
      <c r="S4" s="11" t="n">
        <f aca="false">R4*1.002</f>
        <v>4646.18029167131</v>
      </c>
    </row>
    <row r="5" customFormat="false" ht="14.25" hidden="false" customHeight="false" outlineLevel="0" collapsed="false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customFormat="false" ht="14.25" hidden="false" customHeight="false" outlineLevel="0" collapsed="false">
      <c r="A6" s="1" t="s">
        <v>21</v>
      </c>
      <c r="C6" s="11" t="n">
        <v>2750</v>
      </c>
      <c r="D6" s="11" t="n">
        <f aca="false">C6*1.002</f>
        <v>2755.5</v>
      </c>
      <c r="E6" s="11" t="n">
        <f aca="false">D6*1.002</f>
        <v>2761.011</v>
      </c>
      <c r="F6" s="11" t="n">
        <f aca="false">E6*1.002</f>
        <v>2766.533022</v>
      </c>
      <c r="G6" s="11" t="n">
        <f aca="false">F6*1.002</f>
        <v>2772.066088044</v>
      </c>
      <c r="H6" s="11" t="n">
        <f aca="false">G6*1.002</f>
        <v>2777.61022022009</v>
      </c>
      <c r="I6" s="11" t="n">
        <f aca="false">H6*1.002</f>
        <v>2783.16544066053</v>
      </c>
      <c r="J6" s="11" t="n">
        <f aca="false">I6*1.002</f>
        <v>2788.73177154185</v>
      </c>
      <c r="K6" s="11" t="n">
        <f aca="false">J6*1.002</f>
        <v>2794.30923508493</v>
      </c>
      <c r="L6" s="11" t="n">
        <f aca="false">K6*1.002</f>
        <v>2799.8978535551</v>
      </c>
      <c r="M6" s="11" t="n">
        <f aca="false">L6*1.002</f>
        <v>2805.49764926221</v>
      </c>
      <c r="N6" s="11" t="n">
        <f aca="false">M6*1.002</f>
        <v>2811.10864456074</v>
      </c>
      <c r="O6" s="11" t="n">
        <f aca="false">N6*1.002</f>
        <v>2816.73086184986</v>
      </c>
      <c r="P6" s="11" t="n">
        <f aca="false">O6*1.002</f>
        <v>2822.36432357356</v>
      </c>
      <c r="Q6" s="11" t="n">
        <f aca="false">P6*1.002</f>
        <v>2828.00905222071</v>
      </c>
      <c r="R6" s="11" t="n">
        <f aca="false">Q6*1.002</f>
        <v>2833.66507032515</v>
      </c>
      <c r="S6" s="11" t="n">
        <f aca="false">R6*1.002</f>
        <v>2839.3324004658</v>
      </c>
    </row>
    <row r="7" customFormat="false" ht="14.25" hidden="false" customHeight="false" outlineLevel="0" collapsed="false">
      <c r="A7" s="1" t="s">
        <v>22</v>
      </c>
      <c r="C7" s="11" t="n">
        <v>2500</v>
      </c>
      <c r="D7" s="11" t="n">
        <f aca="false">C7*1.002</f>
        <v>2505</v>
      </c>
      <c r="E7" s="11" t="n">
        <f aca="false">D7*1.002</f>
        <v>2510.01</v>
      </c>
      <c r="F7" s="11" t="n">
        <f aca="false">E7*1.002</f>
        <v>2515.03002</v>
      </c>
      <c r="G7" s="11" t="n">
        <f aca="false">F7*1.002</f>
        <v>2520.06008004</v>
      </c>
      <c r="H7" s="11" t="n">
        <f aca="false">G7*1.002</f>
        <v>2525.10020020008</v>
      </c>
      <c r="I7" s="11" t="n">
        <f aca="false">H7*1.002</f>
        <v>2530.15040060048</v>
      </c>
      <c r="J7" s="11" t="n">
        <f aca="false">I7*1.002</f>
        <v>2535.21070140168</v>
      </c>
      <c r="K7" s="11" t="n">
        <f aca="false">J7*1.002</f>
        <v>2540.28112280448</v>
      </c>
      <c r="L7" s="11" t="n">
        <f aca="false">K7*1.002</f>
        <v>2545.36168505009</v>
      </c>
      <c r="M7" s="11" t="n">
        <f aca="false">L7*1.002</f>
        <v>2550.45240842019</v>
      </c>
      <c r="N7" s="11" t="n">
        <f aca="false">M7*1.002</f>
        <v>2555.55331323703</v>
      </c>
      <c r="O7" s="11" t="n">
        <f aca="false">N7*1.002</f>
        <v>2560.66441986351</v>
      </c>
      <c r="P7" s="11" t="n">
        <f aca="false">O7*1.002</f>
        <v>2565.78574870323</v>
      </c>
      <c r="Q7" s="11" t="n">
        <f aca="false">P7*1.002</f>
        <v>2570.91732020064</v>
      </c>
      <c r="R7" s="11" t="n">
        <f aca="false">Q7*1.002</f>
        <v>2576.05915484104</v>
      </c>
      <c r="S7" s="11" t="n">
        <f aca="false">R7*1.002</f>
        <v>2581.21127315072</v>
      </c>
    </row>
    <row r="8" customFormat="false" ht="14.25" hidden="false" customHeight="false" outlineLevel="0" collapsed="false">
      <c r="A8" s="1" t="s">
        <v>23</v>
      </c>
      <c r="C8" s="11" t="n">
        <v>450</v>
      </c>
      <c r="D8" s="11" t="n">
        <f aca="false">C8*1.002</f>
        <v>450.9</v>
      </c>
      <c r="E8" s="11" t="n">
        <f aca="false">D8*1.002</f>
        <v>451.8018</v>
      </c>
      <c r="F8" s="11" t="n">
        <f aca="false">E8*1.002</f>
        <v>452.7054036</v>
      </c>
      <c r="G8" s="11" t="n">
        <f aca="false">F8*1.002</f>
        <v>453.6108144072</v>
      </c>
      <c r="H8" s="11" t="n">
        <f aca="false">G8*1.002</f>
        <v>454.518036036014</v>
      </c>
      <c r="I8" s="11" t="n">
        <f aca="false">H8*1.002</f>
        <v>455.427072108086</v>
      </c>
      <c r="J8" s="11" t="n">
        <f aca="false">I8*1.002</f>
        <v>456.337926252303</v>
      </c>
      <c r="K8" s="11" t="n">
        <f aca="false">J8*1.002</f>
        <v>457.250602104807</v>
      </c>
      <c r="L8" s="11" t="n">
        <f aca="false">K8*1.002</f>
        <v>458.165103309017</v>
      </c>
      <c r="M8" s="11" t="n">
        <f aca="false">L8*1.002</f>
        <v>459.081433515635</v>
      </c>
      <c r="N8" s="11" t="n">
        <f aca="false">M8*1.002</f>
        <v>459.999596382666</v>
      </c>
      <c r="O8" s="11" t="n">
        <f aca="false">N8*1.002</f>
        <v>460.919595575431</v>
      </c>
      <c r="P8" s="11" t="n">
        <f aca="false">O8*1.002</f>
        <v>461.841434766582</v>
      </c>
      <c r="Q8" s="11" t="n">
        <f aca="false">P8*1.002</f>
        <v>462.765117636115</v>
      </c>
      <c r="R8" s="11" t="n">
        <f aca="false">Q8*1.002</f>
        <v>463.690647871388</v>
      </c>
      <c r="S8" s="11" t="n">
        <f aca="false">R8*1.002</f>
        <v>464.61802916713</v>
      </c>
    </row>
    <row r="9" customFormat="false" ht="14.25" hidden="false" customHeight="false" outlineLevel="0" collapsed="false">
      <c r="A9" s="1" t="s">
        <v>24</v>
      </c>
      <c r="C9" s="11" t="n">
        <f aca="false">C6+C7+C8</f>
        <v>5700</v>
      </c>
      <c r="D9" s="11" t="n">
        <f aca="false">D6+D7+D8</f>
        <v>5711.4</v>
      </c>
      <c r="E9" s="11" t="n">
        <f aca="false">E6+E7+E8</f>
        <v>5722.8228</v>
      </c>
      <c r="F9" s="11" t="n">
        <f aca="false">F6+F7+F8</f>
        <v>5734.2684456</v>
      </c>
      <c r="G9" s="11" t="n">
        <f aca="false">G6+G7+G8</f>
        <v>5745.7369824912</v>
      </c>
      <c r="H9" s="11" t="n">
        <f aca="false">H6+H7+H8</f>
        <v>5757.22845645618</v>
      </c>
      <c r="I9" s="11" t="n">
        <f aca="false">I6+I7+I8</f>
        <v>5768.7429133691</v>
      </c>
      <c r="J9" s="11" t="n">
        <f aca="false">J6+J7+J8</f>
        <v>5780.28039919583</v>
      </c>
      <c r="K9" s="11" t="n">
        <f aca="false">K6+K7+K8</f>
        <v>5791.84095999423</v>
      </c>
      <c r="L9" s="11" t="n">
        <f aca="false">L6+L7+L8</f>
        <v>5803.42464191421</v>
      </c>
      <c r="M9" s="11" t="n">
        <f aca="false">M6+M7+M8</f>
        <v>5815.03149119804</v>
      </c>
      <c r="N9" s="11" t="n">
        <f aca="false">N6+N7+N8</f>
        <v>5826.66155418044</v>
      </c>
      <c r="O9" s="11" t="n">
        <f aca="false">O6+O7+O8</f>
        <v>5838.3148772888</v>
      </c>
      <c r="P9" s="11" t="n">
        <f aca="false">P6+P7+P8</f>
        <v>5849.99150704338</v>
      </c>
      <c r="Q9" s="11" t="n">
        <f aca="false">Q6+Q7+Q8</f>
        <v>5861.69149005746</v>
      </c>
      <c r="R9" s="11" t="n">
        <f aca="false">R6+R7+R8</f>
        <v>5873.41487303758</v>
      </c>
      <c r="S9" s="11" t="n">
        <f aca="false">S6+S7+S8</f>
        <v>5885.16170278365</v>
      </c>
    </row>
    <row r="10" customFormat="false" ht="14.25" hidden="false" customHeight="false" outlineLevel="0" collapsed="false"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customFormat="false" ht="14.25" hidden="false" customHeight="false" outlineLevel="0" collapsed="false">
      <c r="A11" s="1" t="s">
        <v>25</v>
      </c>
      <c r="C11" s="11" t="n">
        <v>750</v>
      </c>
      <c r="D11" s="11" t="n">
        <f aca="false">C11*1.002</f>
        <v>751.5</v>
      </c>
      <c r="E11" s="11" t="n">
        <f aca="false">D11*1.002</f>
        <v>753.003</v>
      </c>
      <c r="F11" s="11" t="n">
        <f aca="false">E11*1.002</f>
        <v>754.509006</v>
      </c>
      <c r="G11" s="11" t="n">
        <f aca="false">F11*1.002</f>
        <v>756.018024012</v>
      </c>
      <c r="H11" s="11" t="n">
        <f aca="false">G11*1.002</f>
        <v>757.530060060024</v>
      </c>
      <c r="I11" s="11" t="n">
        <f aca="false">H11*1.002</f>
        <v>759.045120180144</v>
      </c>
      <c r="J11" s="11" t="n">
        <f aca="false">I11*1.002</f>
        <v>760.563210420504</v>
      </c>
      <c r="K11" s="11" t="n">
        <f aca="false">J11*1.002</f>
        <v>762.084336841345</v>
      </c>
      <c r="L11" s="11" t="n">
        <f aca="false">K11*1.002</f>
        <v>763.608505515028</v>
      </c>
      <c r="M11" s="11" t="n">
        <f aca="false">L11*1.002</f>
        <v>765.135722526058</v>
      </c>
      <c r="N11" s="11" t="n">
        <f aca="false">M11*1.002</f>
        <v>766.66599397111</v>
      </c>
      <c r="O11" s="11" t="n">
        <f aca="false">N11*1.002</f>
        <v>768.199325959052</v>
      </c>
      <c r="P11" s="11" t="n">
        <f aca="false">O11*1.002</f>
        <v>769.735724610971</v>
      </c>
      <c r="Q11" s="11" t="n">
        <f aca="false">P11*1.002</f>
        <v>771.275196060193</v>
      </c>
      <c r="R11" s="11" t="n">
        <f aca="false">Q11*1.002</f>
        <v>772.817746452313</v>
      </c>
      <c r="S11" s="11" t="n">
        <f aca="false">R11*1.002</f>
        <v>774.363381945218</v>
      </c>
    </row>
    <row r="12" customFormat="false" ht="14.25" hidden="false" customHeight="false" outlineLevel="0" collapsed="false">
      <c r="A12" s="1" t="s">
        <v>26</v>
      </c>
      <c r="C12" s="11" t="n">
        <v>300</v>
      </c>
      <c r="D12" s="11" t="n">
        <f aca="false">C12*1.002</f>
        <v>300.6</v>
      </c>
      <c r="E12" s="11" t="n">
        <f aca="false">D12*1.002</f>
        <v>301.2012</v>
      </c>
      <c r="F12" s="11" t="n">
        <f aca="false">E12*1.002</f>
        <v>301.8036024</v>
      </c>
      <c r="G12" s="11" t="n">
        <f aca="false">F12*1.002</f>
        <v>302.4072096048</v>
      </c>
      <c r="H12" s="11" t="n">
        <f aca="false">G12*1.002</f>
        <v>303.01202402401</v>
      </c>
      <c r="I12" s="11" t="n">
        <f aca="false">H12*1.002</f>
        <v>303.618048072058</v>
      </c>
      <c r="J12" s="11" t="n">
        <f aca="false">I12*1.002</f>
        <v>304.225284168202</v>
      </c>
      <c r="K12" s="11" t="n">
        <f aca="false">J12*1.002</f>
        <v>304.833734736538</v>
      </c>
      <c r="L12" s="11" t="n">
        <f aca="false">K12*1.002</f>
        <v>305.443402206011</v>
      </c>
      <c r="M12" s="11" t="n">
        <f aca="false">L12*1.002</f>
        <v>306.054289010423</v>
      </c>
      <c r="N12" s="11" t="n">
        <f aca="false">M12*1.002</f>
        <v>306.666397588444</v>
      </c>
      <c r="O12" s="11" t="n">
        <f aca="false">N12*1.002</f>
        <v>307.279730383621</v>
      </c>
      <c r="P12" s="11" t="n">
        <f aca="false">O12*1.002</f>
        <v>307.894289844388</v>
      </c>
      <c r="Q12" s="11" t="n">
        <f aca="false">P12*1.002</f>
        <v>308.510078424077</v>
      </c>
      <c r="R12" s="11" t="n">
        <f aca="false">Q12*1.002</f>
        <v>309.127098580925</v>
      </c>
      <c r="S12" s="11" t="n">
        <f aca="false">R12*1.002</f>
        <v>309.745352778087</v>
      </c>
    </row>
    <row r="13" customFormat="false" ht="14.25" hidden="false" customHeight="false" outlineLevel="0" collapsed="false">
      <c r="A13" s="1" t="s">
        <v>27</v>
      </c>
      <c r="C13" s="11" t="n">
        <f aca="false">SUM(C11:C12)</f>
        <v>1050</v>
      </c>
      <c r="D13" s="11" t="n">
        <f aca="false">SUM(D11:D12)</f>
        <v>1052.1</v>
      </c>
      <c r="E13" s="11" t="n">
        <f aca="false">SUM(E11:E12)</f>
        <v>1054.2042</v>
      </c>
      <c r="F13" s="11" t="n">
        <f aca="false">SUM(F11:F12)</f>
        <v>1056.3126084</v>
      </c>
      <c r="G13" s="11" t="n">
        <f aca="false">SUM(G11:G12)</f>
        <v>1058.4252336168</v>
      </c>
      <c r="H13" s="11" t="n">
        <f aca="false">SUM(H11:H12)</f>
        <v>1060.54208408403</v>
      </c>
      <c r="I13" s="11" t="n">
        <f aca="false">SUM(I11:I12)</f>
        <v>1062.6631682522</v>
      </c>
      <c r="J13" s="11" t="n">
        <f aca="false">SUM(J11:J12)</f>
        <v>1064.78849458871</v>
      </c>
      <c r="K13" s="11" t="n">
        <f aca="false">SUM(K11:K12)</f>
        <v>1066.91807157788</v>
      </c>
      <c r="L13" s="11" t="n">
        <f aca="false">SUM(L11:L12)</f>
        <v>1069.05190772104</v>
      </c>
      <c r="M13" s="11" t="n">
        <f aca="false">SUM(M11:M12)</f>
        <v>1071.19001153648</v>
      </c>
      <c r="N13" s="11" t="n">
        <f aca="false">SUM(N11:N12)</f>
        <v>1073.33239155955</v>
      </c>
      <c r="O13" s="11" t="n">
        <f aca="false">SUM(O11:O12)</f>
        <v>1075.47905634267</v>
      </c>
      <c r="P13" s="11" t="n">
        <f aca="false">SUM(P11:P12)</f>
        <v>1077.63001445536</v>
      </c>
      <c r="Q13" s="11" t="n">
        <f aca="false">SUM(Q11:Q12)</f>
        <v>1079.78527448427</v>
      </c>
      <c r="R13" s="11" t="n">
        <f aca="false">SUM(R11:R12)</f>
        <v>1081.94484503324</v>
      </c>
      <c r="S13" s="11" t="n">
        <f aca="false">SUM(S11:S12)</f>
        <v>1084.1087347233</v>
      </c>
    </row>
    <row r="14" customFormat="false" ht="14.25" hidden="false" customHeight="false" outlineLevel="0" collapsed="false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customFormat="false" ht="14.25" hidden="false" customHeight="false" outlineLevel="0" collapsed="false">
      <c r="A15" s="1" t="s">
        <v>28</v>
      </c>
      <c r="C15" s="11" t="n">
        <f aca="false">C9-C13</f>
        <v>4650</v>
      </c>
      <c r="D15" s="11" t="n">
        <f aca="false">D9-D13</f>
        <v>4659.3</v>
      </c>
      <c r="E15" s="11" t="n">
        <f aca="false">E9-E13</f>
        <v>4668.6186</v>
      </c>
      <c r="F15" s="11" t="n">
        <f aca="false">F9-F13</f>
        <v>4677.9558372</v>
      </c>
      <c r="G15" s="11" t="n">
        <f aca="false">G9-G13</f>
        <v>4687.3117488744</v>
      </c>
      <c r="H15" s="11" t="n">
        <f aca="false">H9-H13</f>
        <v>4696.68637237215</v>
      </c>
      <c r="I15" s="11" t="n">
        <f aca="false">I9-I13</f>
        <v>4706.07974511689</v>
      </c>
      <c r="J15" s="11" t="n">
        <f aca="false">J9-J13</f>
        <v>4715.49190460713</v>
      </c>
      <c r="K15" s="11" t="n">
        <f aca="false">K9-K13</f>
        <v>4724.92288841634</v>
      </c>
      <c r="L15" s="11" t="n">
        <f aca="false">L9-L13</f>
        <v>4734.37273419317</v>
      </c>
      <c r="M15" s="11" t="n">
        <f aca="false">M9-M13</f>
        <v>4743.84147966156</v>
      </c>
      <c r="N15" s="11" t="n">
        <f aca="false">N9-N13</f>
        <v>4753.32916262088</v>
      </c>
      <c r="O15" s="11" t="n">
        <f aca="false">O9-O13</f>
        <v>4762.83582094612</v>
      </c>
      <c r="P15" s="11" t="n">
        <f aca="false">P9-P13</f>
        <v>4772.36149258802</v>
      </c>
      <c r="Q15" s="11" t="n">
        <f aca="false">Q9-Q13</f>
        <v>4781.90621557319</v>
      </c>
      <c r="R15" s="11" t="n">
        <f aca="false">R9-R13</f>
        <v>4791.47002800434</v>
      </c>
      <c r="S15" s="11" t="n">
        <f aca="false">S9-S13</f>
        <v>4801.05296806035</v>
      </c>
    </row>
    <row r="16" customFormat="false" ht="14.25" hidden="false" customHeight="false" outlineLevel="0" collapsed="false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customFormat="false" ht="14.25" hidden="false" customHeight="false" outlineLevel="0" collapsed="false">
      <c r="A17" s="1" t="s">
        <v>29</v>
      </c>
      <c r="C17" s="11" t="n">
        <v>300</v>
      </c>
      <c r="D17" s="11" t="n">
        <f aca="false">C17*1.002</f>
        <v>300.6</v>
      </c>
      <c r="E17" s="11" t="n">
        <f aca="false">D17*1.002</f>
        <v>301.2012</v>
      </c>
      <c r="F17" s="11" t="n">
        <f aca="false">E17*1.002</f>
        <v>301.8036024</v>
      </c>
      <c r="G17" s="11" t="n">
        <f aca="false">F17*1.002</f>
        <v>302.4072096048</v>
      </c>
      <c r="H17" s="11" t="n">
        <f aca="false">G17*1.002</f>
        <v>303.01202402401</v>
      </c>
      <c r="I17" s="11" t="n">
        <f aca="false">H17*1.002</f>
        <v>303.618048072058</v>
      </c>
      <c r="J17" s="11" t="n">
        <f aca="false">I17*1.002</f>
        <v>304.225284168202</v>
      </c>
      <c r="K17" s="11" t="n">
        <f aca="false">J17*1.002</f>
        <v>304.833734736538</v>
      </c>
      <c r="L17" s="11" t="n">
        <f aca="false">K17*1.002</f>
        <v>305.443402206011</v>
      </c>
      <c r="M17" s="11" t="n">
        <f aca="false">L17*1.002</f>
        <v>306.054289010423</v>
      </c>
      <c r="N17" s="11" t="n">
        <f aca="false">M17*1.002</f>
        <v>306.666397588444</v>
      </c>
      <c r="O17" s="11" t="n">
        <f aca="false">N17*1.002</f>
        <v>307.279730383621</v>
      </c>
      <c r="P17" s="11" t="n">
        <f aca="false">O17*1.002</f>
        <v>307.894289844388</v>
      </c>
      <c r="Q17" s="11" t="n">
        <f aca="false">P17*1.002</f>
        <v>308.510078424077</v>
      </c>
      <c r="R17" s="11" t="n">
        <f aca="false">Q17*1.002</f>
        <v>309.127098580925</v>
      </c>
      <c r="S17" s="11" t="n">
        <f aca="false">R17*1.002</f>
        <v>309.745352778087</v>
      </c>
    </row>
    <row r="18" customFormat="false" ht="14.25" hidden="false" customHeight="false" outlineLevel="0" collapsed="false">
      <c r="A18" s="1" t="s">
        <v>30</v>
      </c>
      <c r="C18" s="11" t="n">
        <v>250</v>
      </c>
      <c r="D18" s="11" t="n">
        <f aca="false">C18*1.002</f>
        <v>250.5</v>
      </c>
      <c r="E18" s="11" t="n">
        <f aca="false">D18*1.002</f>
        <v>251.001</v>
      </c>
      <c r="F18" s="11" t="n">
        <f aca="false">E18*1.002</f>
        <v>251.503002</v>
      </c>
      <c r="G18" s="11" t="n">
        <f aca="false">F18*1.002</f>
        <v>252.006008004</v>
      </c>
      <c r="H18" s="11" t="n">
        <f aca="false">G18*1.002</f>
        <v>252.510020020008</v>
      </c>
      <c r="I18" s="11" t="n">
        <f aca="false">H18*1.002</f>
        <v>253.015040060048</v>
      </c>
      <c r="J18" s="11" t="n">
        <f aca="false">I18*1.002</f>
        <v>253.521070140168</v>
      </c>
      <c r="K18" s="11" t="n">
        <f aca="false">J18*1.002</f>
        <v>254.028112280448</v>
      </c>
      <c r="L18" s="11" t="n">
        <f aca="false">K18*1.002</f>
        <v>254.536168505009</v>
      </c>
      <c r="M18" s="11" t="n">
        <f aca="false">L18*1.002</f>
        <v>255.045240842019</v>
      </c>
      <c r="N18" s="11" t="n">
        <f aca="false">M18*1.002</f>
        <v>255.555331323703</v>
      </c>
      <c r="O18" s="11" t="n">
        <f aca="false">N18*1.002</f>
        <v>256.066441986351</v>
      </c>
      <c r="P18" s="11" t="n">
        <f aca="false">O18*1.002</f>
        <v>256.578574870324</v>
      </c>
      <c r="Q18" s="11" t="n">
        <f aca="false">P18*1.002</f>
        <v>257.091732020064</v>
      </c>
      <c r="R18" s="11" t="n">
        <f aca="false">Q18*1.002</f>
        <v>257.605915484104</v>
      </c>
      <c r="S18" s="11" t="n">
        <f aca="false">R18*1.002</f>
        <v>258.121127315073</v>
      </c>
    </row>
    <row r="19" customFormat="false" ht="14.25" hidden="false" customHeight="false" outlineLevel="0" collapsed="false">
      <c r="A19" s="1" t="s">
        <v>31</v>
      </c>
      <c r="C19" s="11" t="n">
        <f aca="false">SUM(C17:C18)</f>
        <v>550</v>
      </c>
      <c r="D19" s="11" t="n">
        <f aca="false">SUM(D17:D18)</f>
        <v>551.1</v>
      </c>
      <c r="E19" s="11" t="n">
        <f aca="false">SUM(E17:E18)</f>
        <v>552.2022</v>
      </c>
      <c r="F19" s="11" t="n">
        <f aca="false">SUM(F17:F18)</f>
        <v>553.3066044</v>
      </c>
      <c r="G19" s="11" t="n">
        <f aca="false">SUM(G17:G18)</f>
        <v>554.4132176088</v>
      </c>
      <c r="H19" s="11" t="n">
        <f aca="false">SUM(H17:H18)</f>
        <v>555.522044044018</v>
      </c>
      <c r="I19" s="11" t="n">
        <f aca="false">SUM(I17:I18)</f>
        <v>556.633088132106</v>
      </c>
      <c r="J19" s="11" t="n">
        <f aca="false">SUM(J17:J18)</f>
        <v>557.74635430837</v>
      </c>
      <c r="K19" s="11" t="n">
        <f aca="false">SUM(K17:K18)</f>
        <v>558.861847016987</v>
      </c>
      <c r="L19" s="11" t="n">
        <f aca="false">SUM(L17:L18)</f>
        <v>559.979570711021</v>
      </c>
      <c r="M19" s="11" t="n">
        <f aca="false">SUM(M17:M18)</f>
        <v>561.099529852443</v>
      </c>
      <c r="N19" s="11" t="n">
        <f aca="false">SUM(N17:N18)</f>
        <v>562.221728912148</v>
      </c>
      <c r="O19" s="11" t="n">
        <f aca="false">SUM(O17:O18)</f>
        <v>563.346172369972</v>
      </c>
      <c r="P19" s="11" t="n">
        <f aca="false">SUM(P17:P18)</f>
        <v>564.472864714712</v>
      </c>
      <c r="Q19" s="11" t="n">
        <f aca="false">SUM(Q17:Q18)</f>
        <v>565.601810444141</v>
      </c>
      <c r="R19" s="11" t="n">
        <f aca="false">SUM(R17:R18)</f>
        <v>566.73301406503</v>
      </c>
      <c r="S19" s="11" t="n">
        <f aca="false">SUM(S17:S18)</f>
        <v>567.86648009316</v>
      </c>
    </row>
    <row r="20" customFormat="false" ht="14.25" hidden="false" customHeight="false" outlineLevel="0" collapsed="false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customFormat="false" ht="14.25" hidden="false" customHeight="false" outlineLevel="0" collapsed="false">
      <c r="A21" s="1" t="s">
        <v>32</v>
      </c>
      <c r="C21" s="11" t="n">
        <v>250</v>
      </c>
      <c r="D21" s="11" t="n">
        <f aca="false">C21*1.002</f>
        <v>250.5</v>
      </c>
      <c r="E21" s="11" t="n">
        <f aca="false">D21*1.002</f>
        <v>251.001</v>
      </c>
      <c r="F21" s="11" t="n">
        <f aca="false">E21*1.002</f>
        <v>251.503002</v>
      </c>
      <c r="G21" s="11" t="n">
        <f aca="false">F21*1.002</f>
        <v>252.006008004</v>
      </c>
      <c r="H21" s="11" t="n">
        <f aca="false">G21*1.002</f>
        <v>252.510020020008</v>
      </c>
      <c r="I21" s="11" t="n">
        <f aca="false">H21*1.002</f>
        <v>253.015040060048</v>
      </c>
      <c r="J21" s="11" t="n">
        <f aca="false">I21*1.002</f>
        <v>253.521070140168</v>
      </c>
      <c r="K21" s="11" t="n">
        <f aca="false">J21*1.002</f>
        <v>254.028112280448</v>
      </c>
      <c r="L21" s="11" t="n">
        <f aca="false">K21*1.002</f>
        <v>254.536168505009</v>
      </c>
      <c r="M21" s="11" t="n">
        <f aca="false">L21*1.002</f>
        <v>255.045240842019</v>
      </c>
      <c r="N21" s="11" t="n">
        <f aca="false">M21*1.002</f>
        <v>255.555331323703</v>
      </c>
      <c r="O21" s="11" t="n">
        <f aca="false">N21*1.002</f>
        <v>256.066441986351</v>
      </c>
      <c r="P21" s="11" t="n">
        <f aca="false">O21*1.002</f>
        <v>256.578574870324</v>
      </c>
      <c r="Q21" s="11" t="n">
        <f aca="false">P21*1.002</f>
        <v>257.091732020064</v>
      </c>
      <c r="R21" s="11" t="n">
        <f aca="false">Q21*1.002</f>
        <v>257.605915484104</v>
      </c>
      <c r="S21" s="11" t="n">
        <f aca="false">R21*1.002</f>
        <v>258.121127315073</v>
      </c>
    </row>
    <row r="22" customFormat="false" ht="14.25" hidden="false" customHeight="false" outlineLevel="0" collapsed="false">
      <c r="A22" s="1" t="s">
        <v>33</v>
      </c>
      <c r="C22" s="11" t="n">
        <v>1000</v>
      </c>
      <c r="D22" s="11" t="n">
        <f aca="false">C22*1.002</f>
        <v>1002</v>
      </c>
      <c r="E22" s="11" t="n">
        <f aca="false">D22*1.002</f>
        <v>1004.004</v>
      </c>
      <c r="F22" s="11" t="n">
        <f aca="false">E22*1.002</f>
        <v>1006.012008</v>
      </c>
      <c r="G22" s="11" t="n">
        <f aca="false">F22*1.002</f>
        <v>1008.024032016</v>
      </c>
      <c r="H22" s="11" t="n">
        <f aca="false">G22*1.002</f>
        <v>1010.04008008003</v>
      </c>
      <c r="I22" s="11" t="n">
        <f aca="false">H22*1.002</f>
        <v>1012.06016024019</v>
      </c>
      <c r="J22" s="11" t="n">
        <f aca="false">I22*1.002</f>
        <v>1014.08428056067</v>
      </c>
      <c r="K22" s="11" t="n">
        <f aca="false">J22*1.002</f>
        <v>1016.11244912179</v>
      </c>
      <c r="L22" s="11" t="n">
        <f aca="false">K22*1.002</f>
        <v>1018.14467402004</v>
      </c>
      <c r="M22" s="11" t="n">
        <f aca="false">L22*1.002</f>
        <v>1020.18096336808</v>
      </c>
      <c r="N22" s="11" t="n">
        <f aca="false">M22*1.002</f>
        <v>1022.22132529481</v>
      </c>
      <c r="O22" s="11" t="n">
        <f aca="false">N22*1.002</f>
        <v>1024.2657679454</v>
      </c>
      <c r="P22" s="11" t="n">
        <f aca="false">O22*1.002</f>
        <v>1026.31429948129</v>
      </c>
      <c r="Q22" s="11" t="n">
        <f aca="false">P22*1.002</f>
        <v>1028.36692808026</v>
      </c>
      <c r="R22" s="11" t="n">
        <f aca="false">Q22*1.002</f>
        <v>1030.42366193642</v>
      </c>
      <c r="S22" s="11" t="n">
        <f aca="false">R22*1.002</f>
        <v>1032.48450926029</v>
      </c>
    </row>
    <row r="23" customFormat="false" ht="14.25" hidden="false" customHeight="false" outlineLevel="0" collapsed="false">
      <c r="A23" s="1" t="s">
        <v>34</v>
      </c>
      <c r="C23" s="13" t="n">
        <f aca="false">SUM(C21:C22)</f>
        <v>1250</v>
      </c>
      <c r="D23" s="13" t="n">
        <f aca="false">SUM(D21:D22)</f>
        <v>1252.5</v>
      </c>
      <c r="E23" s="13" t="n">
        <f aca="false">SUM(E21:E22)</f>
        <v>1255.005</v>
      </c>
      <c r="F23" s="13" t="n">
        <f aca="false">SUM(F21:F22)</f>
        <v>1257.51501</v>
      </c>
      <c r="G23" s="13" t="n">
        <f aca="false">SUM(G21:G22)</f>
        <v>1260.03004002</v>
      </c>
      <c r="H23" s="13" t="n">
        <f aca="false">SUM(H21:H22)</f>
        <v>1262.55010010004</v>
      </c>
      <c r="I23" s="13" t="n">
        <f aca="false">SUM(I21:I22)</f>
        <v>1265.07520030024</v>
      </c>
      <c r="J23" s="13" t="n">
        <f aca="false">SUM(J21:J22)</f>
        <v>1267.60535070084</v>
      </c>
      <c r="K23" s="13" t="n">
        <f aca="false">SUM(K21:K22)</f>
        <v>1270.14056140224</v>
      </c>
      <c r="L23" s="13" t="n">
        <f aca="false">SUM(L21:L22)</f>
        <v>1272.68084252505</v>
      </c>
      <c r="M23" s="13" t="n">
        <f aca="false">SUM(M21:M22)</f>
        <v>1275.2262042101</v>
      </c>
      <c r="N23" s="13" t="n">
        <f aca="false">SUM(N21:N22)</f>
        <v>1277.77665661852</v>
      </c>
      <c r="O23" s="13" t="n">
        <f aca="false">SUM(O21:O22)</f>
        <v>1280.33220993175</v>
      </c>
      <c r="P23" s="13" t="n">
        <f aca="false">SUM(P21:P22)</f>
        <v>1282.89287435162</v>
      </c>
      <c r="Q23" s="13" t="n">
        <f aca="false">SUM(Q21:Q22)</f>
        <v>1285.45866010032</v>
      </c>
      <c r="R23" s="13" t="n">
        <f aca="false">SUM(R21:R22)</f>
        <v>1288.02957742052</v>
      </c>
      <c r="S23" s="13" t="n">
        <f aca="false">SUM(S21:S22)</f>
        <v>1290.60563657536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0.73"/>
  </cols>
  <sheetData>
    <row r="1" customFormat="false" ht="14.25" hidden="false" customHeight="false" outlineLevel="0" collapsed="false">
      <c r="A1" s="1" t="s">
        <v>35</v>
      </c>
    </row>
    <row r="2" customFormat="false" ht="14.25" hidden="false" customHeight="false" outlineLevel="0" collapsed="false">
      <c r="B2" s="6" t="n">
        <v>44197</v>
      </c>
      <c r="C2" s="6" t="n">
        <v>44228</v>
      </c>
      <c r="D2" s="6" t="n">
        <v>44256</v>
      </c>
      <c r="E2" s="6" t="n">
        <v>44287</v>
      </c>
      <c r="F2" s="6" t="n">
        <v>44317</v>
      </c>
      <c r="G2" s="6" t="n">
        <v>44348</v>
      </c>
      <c r="H2" s="6" t="n">
        <v>44378</v>
      </c>
      <c r="I2" s="6" t="n">
        <v>44409</v>
      </c>
      <c r="J2" s="6" t="n">
        <v>44440</v>
      </c>
      <c r="K2" s="6" t="n">
        <v>44470</v>
      </c>
      <c r="L2" s="6" t="n">
        <v>44501</v>
      </c>
      <c r="M2" s="6" t="n">
        <v>44531</v>
      </c>
      <c r="N2" s="6" t="n">
        <v>44562</v>
      </c>
      <c r="O2" s="6" t="n">
        <v>44593</v>
      </c>
      <c r="P2" s="6" t="n">
        <v>44621</v>
      </c>
      <c r="Q2" s="6" t="n">
        <v>44652</v>
      </c>
      <c r="R2" s="6" t="n">
        <v>44682</v>
      </c>
    </row>
    <row r="4" customFormat="false" ht="14.25" hidden="false" customHeight="false" outlineLevel="0" collapsed="false">
      <c r="A4" s="1" t="s">
        <v>36</v>
      </c>
      <c r="B4" s="1" t="n">
        <v>250</v>
      </c>
      <c r="C4" s="1" t="n">
        <f aca="false">ROUND(B4*1.003,0)</f>
        <v>251</v>
      </c>
      <c r="D4" s="1" t="n">
        <f aca="false">ROUND(C4*1.003,0)</f>
        <v>252</v>
      </c>
      <c r="E4" s="1" t="n">
        <f aca="false">ROUND(D4*1.003,0)</f>
        <v>253</v>
      </c>
      <c r="F4" s="1" t="n">
        <f aca="false">ROUND(E4*1.003,0)</f>
        <v>254</v>
      </c>
      <c r="G4" s="1" t="n">
        <f aca="false">ROUND(F4*1.003,0)</f>
        <v>255</v>
      </c>
      <c r="H4" s="1" t="n">
        <f aca="false">ROUND(G4*1.003,0)</f>
        <v>256</v>
      </c>
      <c r="I4" s="1" t="n">
        <v>245</v>
      </c>
      <c r="J4" s="1" t="n">
        <f aca="false">ROUND(I4*1.003,0)</f>
        <v>246</v>
      </c>
      <c r="K4" s="1" t="n">
        <f aca="false">ROUND(J4*1.003,0)</f>
        <v>247</v>
      </c>
      <c r="L4" s="1" t="n">
        <f aca="false">ROUND(K4*1.003,0)</f>
        <v>248</v>
      </c>
      <c r="M4" s="1" t="n">
        <f aca="false">ROUND(L4*1.003,0)</f>
        <v>249</v>
      </c>
      <c r="N4" s="1" t="n">
        <f aca="false">ROUND(M4*1.003,0)</f>
        <v>250</v>
      </c>
      <c r="O4" s="1" t="n">
        <f aca="false">ROUND(N4*1.003,0)</f>
        <v>251</v>
      </c>
      <c r="P4" s="1" t="n">
        <f aca="false">ROUND(O4*1.003,0)</f>
        <v>252</v>
      </c>
      <c r="Q4" s="1" t="n">
        <f aca="false">ROUND(P4*1.003,0)</f>
        <v>253</v>
      </c>
      <c r="R4" s="1" t="n">
        <f aca="false">ROUND(Q4*1.003,0)</f>
        <v>254</v>
      </c>
    </row>
    <row r="6" customFormat="false" ht="14.25" hidden="false" customHeight="false" outlineLevel="0" collapsed="false">
      <c r="A6" s="1" t="s">
        <v>37</v>
      </c>
      <c r="B6" s="1" t="n">
        <v>30</v>
      </c>
      <c r="C6" s="1" t="n">
        <f aca="false">ROUND(B6*1.003,0)</f>
        <v>30</v>
      </c>
      <c r="D6" s="1" t="n">
        <f aca="false">ROUND(C6*1.003,0)</f>
        <v>30</v>
      </c>
      <c r="E6" s="1" t="n">
        <f aca="false">ROUND(D6*1.003,0)</f>
        <v>30</v>
      </c>
      <c r="F6" s="1" t="n">
        <f aca="false">ROUND(E6*1.003,0)</f>
        <v>30</v>
      </c>
      <c r="G6" s="1" t="n">
        <f aca="false">ROUND(F6*1.003,0)</f>
        <v>30</v>
      </c>
      <c r="H6" s="1" t="n">
        <f aca="false">ROUND(G6*1.003,0)</f>
        <v>30</v>
      </c>
      <c r="I6" s="1" t="n">
        <f aca="false">ROUND(H6*1.003,0)</f>
        <v>30</v>
      </c>
      <c r="J6" s="1" t="n">
        <f aca="false">ROUND(I6*1.003,0)</f>
        <v>30</v>
      </c>
      <c r="K6" s="1" t="n">
        <f aca="false">ROUND(J6*1.003,0)</f>
        <v>30</v>
      </c>
      <c r="L6" s="1" t="n">
        <f aca="false">ROUND(K6*1.003,0)</f>
        <v>30</v>
      </c>
      <c r="M6" s="1" t="n">
        <f aca="false">ROUND(L6*1.003,0)</f>
        <v>30</v>
      </c>
      <c r="N6" s="1" t="n">
        <f aca="false">ROUND(M6*1.003,0)</f>
        <v>30</v>
      </c>
      <c r="O6" s="1" t="n">
        <f aca="false">ROUND(N6*1.003,0)</f>
        <v>30</v>
      </c>
      <c r="P6" s="1" t="n">
        <f aca="false">ROUND(O6*1.003,0)</f>
        <v>30</v>
      </c>
      <c r="Q6" s="1" t="n">
        <f aca="false">ROUND(P6*1.003,0)</f>
        <v>30</v>
      </c>
      <c r="R6" s="1" t="n">
        <f aca="false">ROUND(Q6*1.003,0)</f>
        <v>30</v>
      </c>
    </row>
    <row r="8" customFormat="false" ht="14.25" hidden="false" customHeight="false" outlineLevel="0" collapsed="false">
      <c r="A8" s="1" t="s">
        <v>38</v>
      </c>
      <c r="B8" s="1" t="n">
        <v>1000</v>
      </c>
      <c r="C8" s="1" t="n">
        <f aca="false">ROUND(B8*1.003,0)</f>
        <v>1003</v>
      </c>
      <c r="D8" s="1" t="n">
        <f aca="false">ROUND(C8*1.003,0)</f>
        <v>1006</v>
      </c>
      <c r="E8" s="1" t="n">
        <f aca="false">ROUND(D8*1.003,0)</f>
        <v>1009</v>
      </c>
      <c r="F8" s="1" t="n">
        <f aca="false">ROUND(E8*1.003,0)</f>
        <v>1012</v>
      </c>
      <c r="G8" s="1" t="n">
        <f aca="false">ROUND(F8*1.003,0)</f>
        <v>1015</v>
      </c>
      <c r="H8" s="1" t="n">
        <f aca="false">ROUND(G8*1.003,0)</f>
        <v>1018</v>
      </c>
      <c r="I8" s="1" t="n">
        <f aca="false">ROUND(H8*1.003,0)</f>
        <v>1021</v>
      </c>
      <c r="J8" s="1" t="n">
        <f aca="false">ROUND(I8*1.003,0)</f>
        <v>1024</v>
      </c>
      <c r="K8" s="1" t="n">
        <f aca="false">ROUND(J8*1.003,0)</f>
        <v>1027</v>
      </c>
      <c r="L8" s="1" t="n">
        <f aca="false">ROUND(K8*1.003,0)</f>
        <v>1030</v>
      </c>
      <c r="M8" s="1" t="n">
        <f aca="false">ROUND(L8*1.003,0)</f>
        <v>1033</v>
      </c>
      <c r="N8" s="1" t="n">
        <f aca="false">ROUND(M8*1.003,0)</f>
        <v>1036</v>
      </c>
      <c r="O8" s="1" t="n">
        <f aca="false">ROUND(N8*1.003,0)</f>
        <v>1039</v>
      </c>
      <c r="P8" s="1" t="n">
        <f aca="false">ROUND(O8*1.003,0)</f>
        <v>1042</v>
      </c>
      <c r="Q8" s="1" t="n">
        <f aca="false">ROUND(P8*1.003,0)</f>
        <v>1045</v>
      </c>
      <c r="R8" s="1" t="n">
        <f aca="false">ROUND(Q8*1.003,0)</f>
        <v>1048</v>
      </c>
    </row>
    <row r="10" customFormat="false" ht="14.25" hidden="false" customHeight="false" outlineLevel="0" collapsed="false">
      <c r="A10" s="1" t="s">
        <v>39</v>
      </c>
      <c r="B10" s="9" t="n">
        <v>0.18</v>
      </c>
      <c r="C10" s="9" t="n">
        <f aca="false">B10</f>
        <v>0.18</v>
      </c>
      <c r="D10" s="9" t="n">
        <v>0.2</v>
      </c>
      <c r="E10" s="9" t="n">
        <v>0.22</v>
      </c>
      <c r="F10" s="9" t="n">
        <f aca="false">E10</f>
        <v>0.22</v>
      </c>
      <c r="G10" s="9" t="n">
        <f aca="false">F10</f>
        <v>0.22</v>
      </c>
      <c r="H10" s="9" t="n">
        <f aca="false">G10</f>
        <v>0.22</v>
      </c>
      <c r="I10" s="9" t="n">
        <v>0.2</v>
      </c>
      <c r="J10" s="9" t="n">
        <f aca="false">I10</f>
        <v>0.2</v>
      </c>
      <c r="K10" s="9" t="n">
        <f aca="false">J10</f>
        <v>0.2</v>
      </c>
      <c r="L10" s="9" t="n">
        <v>0.15</v>
      </c>
      <c r="M10" s="9" t="n">
        <f aca="false">L10</f>
        <v>0.15</v>
      </c>
      <c r="N10" s="9" t="n">
        <f aca="false">M10</f>
        <v>0.15</v>
      </c>
      <c r="O10" s="9" t="n">
        <f aca="false">N10</f>
        <v>0.15</v>
      </c>
      <c r="P10" s="9" t="n">
        <v>0.14</v>
      </c>
      <c r="Q10" s="9" t="n">
        <f aca="false">P10</f>
        <v>0.14</v>
      </c>
      <c r="R10" s="9" t="n">
        <f aca="false">Q10</f>
        <v>0.14</v>
      </c>
    </row>
    <row r="12" customFormat="false" ht="14.25" hidden="false" customHeight="false" outlineLevel="0" collapsed="false">
      <c r="A12" s="1" t="s">
        <v>40</v>
      </c>
      <c r="B12" s="9" t="n">
        <v>0.34</v>
      </c>
      <c r="C12" s="9" t="n">
        <f aca="false">B12</f>
        <v>0.34</v>
      </c>
      <c r="D12" s="9" t="n">
        <f aca="false">C12</f>
        <v>0.34</v>
      </c>
      <c r="E12" s="9" t="n">
        <f aca="false">D12</f>
        <v>0.34</v>
      </c>
      <c r="F12" s="9" t="n">
        <v>0.33</v>
      </c>
      <c r="G12" s="9" t="n">
        <f aca="false">F12</f>
        <v>0.33</v>
      </c>
      <c r="H12" s="9" t="n">
        <f aca="false">G12</f>
        <v>0.33</v>
      </c>
      <c r="I12" s="9" t="n">
        <v>0.3</v>
      </c>
      <c r="J12" s="9" t="n">
        <f aca="false">I12</f>
        <v>0.3</v>
      </c>
      <c r="K12" s="9" t="n">
        <f aca="false">J12</f>
        <v>0.3</v>
      </c>
      <c r="L12" s="9" t="n">
        <v>0.27</v>
      </c>
      <c r="M12" s="9" t="n">
        <f aca="false">L12</f>
        <v>0.27</v>
      </c>
      <c r="N12" s="9" t="n">
        <f aca="false">M12</f>
        <v>0.27</v>
      </c>
      <c r="O12" s="9" t="n">
        <f aca="false">N12</f>
        <v>0.27</v>
      </c>
      <c r="P12" s="9" t="n">
        <v>0.25</v>
      </c>
      <c r="Q12" s="9" t="n">
        <f aca="false">P12</f>
        <v>0.25</v>
      </c>
      <c r="R12" s="9" t="n">
        <f aca="false">Q12</f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2024-04-22T06:07:10Z</dcterms:created>
  <dc:creator>Author</dc:creator>
  <dc:description/>
  <dc:language>en-IN</dc:language>
  <cp:lastModifiedBy/>
  <dcterms:modified xsi:type="dcterms:W3CDTF">2026-04-22T15:30:08Z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