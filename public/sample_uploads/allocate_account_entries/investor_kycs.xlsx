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vidualKyc" sheetId="1" state="visible" r:id="rId3"/>
    <sheet name="NonIndividualKyc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<sst xmlns="http://schemas.openxmlformats.org/spreadsheetml/2006/main" count="1100" uniqueCount="294">
  <si>
    <t xml:space="preserve">Stakeholder</t>
  </si>
  <si>
    <t xml:space="preserve">Investing Entity</t>
  </si>
  <si>
    <t xml:space="preserve">Date of Birth</t>
  </si>
  <si>
    <t xml:space="preserve">PAN/Tax Id</t>
  </si>
  <si>
    <t xml:space="preserve">Pan Verified</t>
  </si>
  <si>
    <t xml:space="preserve">Address</t>
  </si>
  <si>
    <t xml:space="preserve">Correspondence Address</t>
  </si>
  <si>
    <t xml:space="preserve">KYC Type</t>
  </si>
  <si>
    <t xml:space="preserve">Residency</t>
  </si>
  <si>
    <t xml:space="preserve">Bank Name</t>
  </si>
  <si>
    <t xml:space="preserve">Branch Name</t>
  </si>
  <si>
    <t xml:space="preserve">Bank Account Number</t>
  </si>
  <si>
    <t xml:space="preserve">Bank Verified</t>
  </si>
  <si>
    <t xml:space="preserve">Account Type</t>
  </si>
  <si>
    <t xml:space="preserve">IFSC Code</t>
  </si>
  <si>
    <t xml:space="preserve">Verified</t>
  </si>
  <si>
    <t xml:space="preserve">Expiry Date</t>
  </si>
  <si>
    <t xml:space="preserve">Expired</t>
  </si>
  <si>
    <t xml:space="preserve">Investor Signatory Emails</t>
  </si>
  <si>
    <t xml:space="preserve">Agreement Committed Amount</t>
  </si>
  <si>
    <t xml:space="preserve">Committed Amount</t>
  </si>
  <si>
    <t xml:space="preserve">Called Amount</t>
  </si>
  <si>
    <t xml:space="preserve">Collected Amount</t>
  </si>
  <si>
    <t xml:space="preserve">Distributed Amount</t>
  </si>
  <si>
    <t xml:space="preserve">Fathers Name</t>
  </si>
  <si>
    <t xml:space="preserve">Spouses Name</t>
  </si>
  <si>
    <t xml:space="preserve">Date Of Birth Joint Holder</t>
  </si>
  <si>
    <t xml:space="preserve">Tax Identification Number</t>
  </si>
  <si>
    <t xml:space="preserve">Date Of Birth</t>
  </si>
  <si>
    <t xml:space="preserve">Middle Name</t>
  </si>
  <si>
    <t xml:space="preserve">Nationality</t>
  </si>
  <si>
    <t xml:space="preserve">Ckyc</t>
  </si>
  <si>
    <t xml:space="preserve">Tin</t>
  </si>
  <si>
    <t xml:space="preserve">Fatca</t>
  </si>
  <si>
    <t xml:space="preserve">Domicile</t>
  </si>
  <si>
    <t xml:space="preserve">Country</t>
  </si>
  <si>
    <t xml:space="preserve">Joint Account</t>
  </si>
  <si>
    <t xml:space="preserve">Joint Account Holder Relation</t>
  </si>
  <si>
    <t xml:space="preserve">Joint Account Holder Spouse</t>
  </si>
  <si>
    <t xml:space="preserve">Joint Account Holder Parent</t>
  </si>
  <si>
    <t xml:space="preserve">Joint Account Holder Child</t>
  </si>
  <si>
    <t xml:space="preserve">Joint Account Holder Student</t>
  </si>
  <si>
    <t xml:space="preserve">Joint Account Holder Student Education</t>
  </si>
  <si>
    <t xml:space="preserve">School Board</t>
  </si>
  <si>
    <t xml:space="preserve">Education Certificate</t>
  </si>
  <si>
    <t xml:space="preserve">Certificate</t>
  </si>
  <si>
    <t xml:space="preserve">Demat Account</t>
  </si>
  <si>
    <t xml:space="preserve">Dp</t>
  </si>
  <si>
    <t xml:space="preserve">Client</t>
  </si>
  <si>
    <t xml:space="preserve">Cml</t>
  </si>
  <si>
    <t xml:space="preserve">Custom Field Individual1</t>
  </si>
  <si>
    <t xml:space="preserve">Custom Field Individual2</t>
  </si>
  <si>
    <t xml:space="preserve">Custom Field Individual3</t>
  </si>
  <si>
    <t xml:space="preserve">Sebi Investor Category</t>
  </si>
  <si>
    <t xml:space="preserve">Sebi Investor Sub Category</t>
  </si>
  <si>
    <t xml:space="preserve">Custom Field Individual 1</t>
  </si>
  <si>
    <t xml:space="preserve">Custom Field Individual 2</t>
  </si>
  <si>
    <t xml:space="preserve">Custom Field Individual 3</t>
  </si>
  <si>
    <t xml:space="preserve">Individual Custom Field Test 1</t>
  </si>
  <si>
    <t xml:space="preserve">Individual Custom Field Test 2</t>
  </si>
  <si>
    <t xml:space="preserve">Individual Custom Field Test 3</t>
  </si>
  <si>
    <t xml:space="preserve">Individual Custom Field Test 11</t>
  </si>
  <si>
    <t xml:space="preserve">Individual Custom Field Test 12</t>
  </si>
  <si>
    <t xml:space="preserve">Individual Custom Field Test 13</t>
  </si>
  <si>
    <t xml:space="preserve">Custom Field 1</t>
  </si>
  <si>
    <t xml:space="preserve">Custom Field 2</t>
  </si>
  <si>
    <t xml:space="preserve">Unit Type</t>
  </si>
  <si>
    <t xml:space="preserve">Image</t>
  </si>
  <si>
    <t xml:space="preserve">Image Joint Holder</t>
  </si>
  <si>
    <t xml:space="preserve">Pan Joint Holder</t>
  </si>
  <si>
    <t xml:space="preserve">Pan Nominee</t>
  </si>
  <si>
    <t xml:space="preserve">Investor Category</t>
  </si>
  <si>
    <t xml:space="preserve">Investor Sub Category</t>
  </si>
  <si>
    <t xml:space="preserve">RON</t>
  </si>
  <si>
    <t xml:space="preserve">Investor 33</t>
  </si>
  <si>
    <t xml:space="preserve">AAA1053</t>
  </si>
  <si>
    <t xml:space="preserve">Yes</t>
  </si>
  <si>
    <t xml:space="preserve">123, Test address, Test city</t>
  </si>
  <si>
    <t xml:space="preserve">individual</t>
  </si>
  <si>
    <t xml:space="preserve">No</t>
  </si>
  <si>
    <t xml:space="preserve">HDFC0000542</t>
  </si>
  <si>
    <t xml:space="preserve">AA TEST</t>
  </si>
  <si>
    <t xml:space="preserve">AA Holdings LLP</t>
  </si>
  <si>
    <t xml:space="preserve">AAAPA0026A</t>
  </si>
  <si>
    <t xml:space="preserve">236 Broadway</t>
  </si>
  <si>
    <t xml:space="preserve">domestic</t>
  </si>
  <si>
    <t xml:space="preserve">Savings Account</t>
  </si>
  <si>
    <t xml:space="preserve">ABCD0000039</t>
  </si>
  <si>
    <t xml:space="preserve"> </t>
  </si>
  <si>
    <t xml:space="preserve">Internal</t>
  </si>
  <si>
    <t xml:space="preserve">Sponsor</t>
  </si>
  <si>
    <t xml:space="preserve">AB</t>
  </si>
  <si>
    <t xml:space="preserve">AB Holdings LLP</t>
  </si>
  <si>
    <t xml:space="preserve">AAAPA0027A</t>
  </si>
  <si>
    <t xml:space="preserve">237 Broadway</t>
  </si>
  <si>
    <t xml:space="preserve">AK</t>
  </si>
  <si>
    <t xml:space="preserve">AK Holdings LLP</t>
  </si>
  <si>
    <t xml:space="preserve">AAAPA0036A</t>
  </si>
  <si>
    <t xml:space="preserve">246 Broadway</t>
  </si>
  <si>
    <t xml:space="preserve">RON TEST2</t>
  </si>
  <si>
    <t xml:space="preserve">ADCBA4321F</t>
  </si>
  <si>
    <t xml:space="preserve">17, Green lane</t>
  </si>
  <si>
    <t xml:space="preserve">HDFC0001805</t>
  </si>
  <si>
    <t xml:space="preserve">George</t>
  </si>
  <si>
    <t xml:space="preserve">AAA89132</t>
  </si>
  <si>
    <t xml:space="preserve">Building no 934, 7th street</t>
  </si>
  <si>
    <t xml:space="preserve">Jonny Rose</t>
  </si>
  <si>
    <t xml:space="preserve">DAERT6754T</t>
  </si>
  <si>
    <t xml:space="preserve">David Rose</t>
  </si>
  <si>
    <t xml:space="preserve">ABCTEST</t>
  </si>
  <si>
    <t xml:space="preserve">Building no 21, 99th street</t>
  </si>
  <si>
    <t xml:space="preserve">SRK</t>
  </si>
  <si>
    <t xml:space="preserve">KKHH Holdings LLP</t>
  </si>
  <si>
    <t xml:space="preserve">KKHH111MNIK</t>
  </si>
  <si>
    <t xml:space="preserve">7th street, Hyde Park, Mumbai - 123123</t>
  </si>
  <si>
    <t xml:space="preserve">test</t>
  </si>
  <si>
    <t xml:space="preserve">KOTAK9808F</t>
  </si>
  <si>
    <t xml:space="preserve">caphive.test.4@gmail.com</t>
  </si>
  <si>
    <t xml:space="preserve">abc</t>
  </si>
  <si>
    <t xml:space="preserve">2000-01-01</t>
  </si>
  <si>
    <t xml:space="preserve">2020-01-01</t>
  </si>
  <si>
    <t xml:space="preserve">1 jan 24</t>
  </si>
  <si>
    <t xml:space="preserve">Domestic</t>
  </si>
  <si>
    <t xml:space="preserve">spouse</t>
  </si>
  <si>
    <t xml:space="preserve">SRK Holdings Private Limited</t>
  </si>
  <si>
    <t xml:space="preserve">TESTPAN123</t>
  </si>
  <si>
    <t xml:space="preserve">12, 10th street, Mumbai</t>
  </si>
  <si>
    <t xml:space="preserve">12, Honey street, Mumbai</t>
  </si>
  <si>
    <t xml:space="preserve">Test</t>
  </si>
  <si>
    <t xml:space="preserve">ICICIC982</t>
  </si>
  <si>
    <t xml:space="preserve">GKAKSK</t>
  </si>
  <si>
    <t xml:space="preserve">KKKKK3452K</t>
  </si>
  <si>
    <t xml:space="preserve">Building no 10, 7th street, Mumbai</t>
  </si>
  <si>
    <t xml:space="preserve">Dobby</t>
  </si>
  <si>
    <t xml:space="preserve">DOBBY123</t>
  </si>
  <si>
    <t xml:space="preserve">5th street, London</t>
  </si>
  <si>
    <t xml:space="preserve">Algrid Habus</t>
  </si>
  <si>
    <t xml:space="preserve">Vikram Sharma</t>
  </si>
  <si>
    <t xml:space="preserve">ABCDE1234E</t>
  </si>
  <si>
    <t xml:space="preserve">Green park, Mumbai</t>
  </si>
  <si>
    <t xml:space="preserve">HDFC121231</t>
  </si>
  <si>
    <t xml:space="preserve">Arjun Verma</t>
  </si>
  <si>
    <t xml:space="preserve">ARJUN123</t>
  </si>
  <si>
    <t xml:space="preserve">Test address</t>
  </si>
  <si>
    <t xml:space="preserve">HDFC</t>
  </si>
  <si>
    <t xml:space="preserve">Fort</t>
  </si>
  <si>
    <t xml:space="preserve">HDFC1</t>
  </si>
  <si>
    <t xml:space="preserve">Karan Thapar</t>
  </si>
  <si>
    <t xml:space="preserve">NA</t>
  </si>
  <si>
    <t xml:space="preserve">1980-01-01</t>
  </si>
  <si>
    <t xml:space="preserve">test123</t>
  </si>
  <si>
    <t xml:space="preserve">Raj Rama</t>
  </si>
  <si>
    <t xml:space="preserve">TEST</t>
  </si>
  <si>
    <t xml:space="preserve">caphive.test.2@gmail.com</t>
  </si>
  <si>
    <t xml:space="preserve">Raj Cooper</t>
  </si>
  <si>
    <t xml:space="preserve">TESTRAJ123</t>
  </si>
  <si>
    <t xml:space="preserve">Test 3</t>
  </si>
  <si>
    <t xml:space="preserve">2020-02-01</t>
  </si>
  <si>
    <t xml:space="preserve">Foreign</t>
  </si>
  <si>
    <t xml:space="preserve">USA</t>
  </si>
  <si>
    <t xml:space="preserve">child</t>
  </si>
  <si>
    <t xml:space="preserve">Dhruv Yadav</t>
  </si>
  <si>
    <t xml:space="preserve">Test KYC 1</t>
  </si>
  <si>
    <t xml:space="preserve">TestKYC1</t>
  </si>
  <si>
    <t xml:space="preserve">D109</t>
  </si>
  <si>
    <t xml:space="preserve">HDFC0001</t>
  </si>
  <si>
    <t xml:space="preserve">Resident Individuals</t>
  </si>
  <si>
    <t xml:space="preserve">Test KYC 2</t>
  </si>
  <si>
    <t xml:space="preserve">TestKYC2</t>
  </si>
  <si>
    <t xml:space="preserve">D110</t>
  </si>
  <si>
    <t xml:space="preserve">foreign</t>
  </si>
  <si>
    <t xml:space="preserve">Savings</t>
  </si>
  <si>
    <t xml:space="preserve">Individual custom field test 1</t>
  </si>
  <si>
    <t xml:space="preserve">Individual custom field test 2</t>
  </si>
  <si>
    <t xml:space="preserve">Individual custom field test 3</t>
  </si>
  <si>
    <t xml:space="preserve">NRIs</t>
  </si>
  <si>
    <t xml:space="preserve">Test KYC 3</t>
  </si>
  <si>
    <t xml:space="preserve">TestKYC3</t>
  </si>
  <si>
    <t xml:space="preserve">D111</t>
  </si>
  <si>
    <t xml:space="preserve">Fund of Funds for Startups - Ministry of Xxxxxxxx &amp; Xxxxxxx, Government of Xxxxx - Represented by XXXXX</t>
  </si>
  <si>
    <t xml:space="preserve">TestKYC4</t>
  </si>
  <si>
    <t xml:space="preserve">D112</t>
  </si>
  <si>
    <t xml:space="preserve">other</t>
  </si>
  <si>
    <t xml:space="preserve">Domestic Developmental Agencies/Government Agencies</t>
  </si>
  <si>
    <t xml:space="preserve">Test KYC 5</t>
  </si>
  <si>
    <t xml:space="preserve">TestKYC5</t>
  </si>
  <si>
    <t xml:space="preserve">D113</t>
  </si>
  <si>
    <t xml:space="preserve">Test KYC 11</t>
  </si>
  <si>
    <t xml:space="preserve">TestKYC11</t>
  </si>
  <si>
    <t xml:space="preserve">D114</t>
  </si>
  <si>
    <t xml:space="preserve">Test KYC 12</t>
  </si>
  <si>
    <t xml:space="preserve">TestKYC12</t>
  </si>
  <si>
    <t xml:space="preserve">D115</t>
  </si>
  <si>
    <t xml:space="preserve">Test KYC 13</t>
  </si>
  <si>
    <t xml:space="preserve">TestKYC13</t>
  </si>
  <si>
    <t xml:space="preserve">D116</t>
  </si>
  <si>
    <t xml:space="preserve">Test KYC 14</t>
  </si>
  <si>
    <t xml:space="preserve">TestKYC14</t>
  </si>
  <si>
    <t xml:space="preserve">D117</t>
  </si>
  <si>
    <t xml:space="preserve">Test KYC 15</t>
  </si>
  <si>
    <t xml:space="preserve">TestKYC15</t>
  </si>
  <si>
    <t xml:space="preserve">D118</t>
  </si>
  <si>
    <t xml:space="preserve">Mohan Sharma</t>
  </si>
  <si>
    <t xml:space="preserve">SASQE</t>
  </si>
  <si>
    <t xml:space="preserve">signatory1@gmail.com,signatory2@gmail.com</t>
  </si>
  <si>
    <t xml:space="preserve">A</t>
  </si>
  <si>
    <t xml:space="preserve">SRK Investor</t>
  </si>
  <si>
    <t xml:space="preserve">AGUPC85a</t>
  </si>
  <si>
    <t xml:space="preserve">SRK Investor 2</t>
  </si>
  <si>
    <t xml:space="preserve">AGUPC85aaas</t>
  </si>
  <si>
    <t xml:space="preserve">ABC Investor 1</t>
  </si>
  <si>
    <t xml:space="preserve">12awsddc1</t>
  </si>
  <si>
    <t xml:space="preserve">Non-Corporate (other than Trusts)</t>
  </si>
  <si>
    <t xml:space="preserve">Aseem Asif Karmali</t>
  </si>
  <si>
    <t xml:space="preserve">DSIPK3271E</t>
  </si>
  <si>
    <t xml:space="preserve">test address</t>
  </si>
  <si>
    <t xml:space="preserve">Kotak</t>
  </si>
  <si>
    <t xml:space="preserve">Lower Parel</t>
  </si>
  <si>
    <t xml:space="preserve">KKBK0001372</t>
  </si>
  <si>
    <t xml:space="preserve">Vijay Mallya</t>
  </si>
  <si>
    <t xml:space="preserve">Dawood Ibrahim</t>
  </si>
  <si>
    <t xml:space="preserve">Shrikant Gour</t>
  </si>
  <si>
    <t xml:space="preserve">Yashprit Jairah</t>
  </si>
  <si>
    <t xml:space="preserve">ZZ TEST FEB 25</t>
  </si>
  <si>
    <t xml:space="preserve">Investor</t>
  </si>
  <si>
    <t xml:space="preserve">PAN</t>
  </si>
  <si>
    <t xml:space="preserve">Esign Emails</t>
  </si>
  <si>
    <t xml:space="preserve">Number Of Directors</t>
  </si>
  <si>
    <t xml:space="preserve">Place Of Incorporation</t>
  </si>
  <si>
    <t xml:space="preserve">Non Individual Custom Field Test1</t>
  </si>
  <si>
    <t xml:space="preserve">Non Individual Custom Field Test2</t>
  </si>
  <si>
    <t xml:space="preserve">Non Individual Custom Field Test3</t>
  </si>
  <si>
    <t xml:space="preserve">Non Individual Custom Field Test 11</t>
  </si>
  <si>
    <t xml:space="preserve">Non Individual Custom Field Test 12</t>
  </si>
  <si>
    <t xml:space="preserve">Non Individual Custom Field Test 13</t>
  </si>
  <si>
    <t xml:space="preserve">Custom Field Non Individual 1</t>
  </si>
  <si>
    <t xml:space="preserve">Custom Field Non Individual 2</t>
  </si>
  <si>
    <t xml:space="preserve">Custom Field Non Individual 3</t>
  </si>
  <si>
    <t xml:space="preserve">Additional Aml Report Attributes</t>
  </si>
  <si>
    <t xml:space="preserve">RC Pvt Ltd</t>
  </si>
  <si>
    <t xml:space="preserve">12, 18th street, Mumbai</t>
  </si>
  <si>
    <t xml:space="preserve">12, Chocolate street, Mumbai</t>
  </si>
  <si>
    <t xml:space="preserve">non_individual</t>
  </si>
  <si>
    <t xml:space="preserve">KOTAK98102</t>
  </si>
  <si>
    <t xml:space="preserve">Mumbai</t>
  </si>
  <si>
    <t xml:space="preserve">Thimmaiah Chendrimada</t>
  </si>
  <si>
    <t xml:space="preserve">AGP</t>
  </si>
  <si>
    <t xml:space="preserve">D</t>
  </si>
  <si>
    <t xml:space="preserve">asdasd</t>
  </si>
  <si>
    <t xml:space="preserve">BOB</t>
  </si>
  <si>
    <t xml:space="preserve">aaaaaa</t>
  </si>
  <si>
    <t xml:space="preserve">Mysuru</t>
  </si>
  <si>
    <t xml:space="preserve">Test KYC 6</t>
  </si>
  <si>
    <t xml:space="preserve">TestKYC6</t>
  </si>
  <si>
    <t xml:space="preserve">Current</t>
  </si>
  <si>
    <t xml:space="preserve">Banks</t>
  </si>
  <si>
    <t xml:space="preserve">Test KYC 7</t>
  </si>
  <si>
    <t xml:space="preserve">TestKYC7</t>
  </si>
  <si>
    <t xml:space="preserve">Non-individual custom field test 1</t>
  </si>
  <si>
    <t xml:space="preserve">Non-individual custom field test 2</t>
  </si>
  <si>
    <t xml:space="preserve">Non-individual custom field test 3</t>
  </si>
  <si>
    <t xml:space="preserve">NBFCs</t>
  </si>
  <si>
    <t xml:space="preserve">Test KYC 8</t>
  </si>
  <si>
    <t xml:space="preserve">TestKYC8</t>
  </si>
  <si>
    <t xml:space="preserve">Insurance Companies</t>
  </si>
  <si>
    <t xml:space="preserve">Test KYC 9</t>
  </si>
  <si>
    <t xml:space="preserve">TestKYC9</t>
  </si>
  <si>
    <t xml:space="preserve">Pension Funds</t>
  </si>
  <si>
    <t xml:space="preserve">Test KYC 10</t>
  </si>
  <si>
    <t xml:space="preserve">TestKYC10</t>
  </si>
  <si>
    <t xml:space="preserve">FPIs</t>
  </si>
  <si>
    <t xml:space="preserve">Test KYC 16</t>
  </si>
  <si>
    <t xml:space="preserve">TestKYC16</t>
  </si>
  <si>
    <t xml:space="preserve">Provident Funds</t>
  </si>
  <si>
    <t xml:space="preserve">Test KYC 17</t>
  </si>
  <si>
    <t xml:space="preserve">TestKYC17</t>
  </si>
  <si>
    <t xml:space="preserve">AIFs</t>
  </si>
  <si>
    <t xml:space="preserve">Test KYC 18</t>
  </si>
  <si>
    <t xml:space="preserve">TestKYC18</t>
  </si>
  <si>
    <t xml:space="preserve">Other Corporates</t>
  </si>
  <si>
    <t xml:space="preserve">Test KYC 19</t>
  </si>
  <si>
    <t xml:space="preserve">TestKYC19</t>
  </si>
  <si>
    <t xml:space="preserve">Test KYC 20</t>
  </si>
  <si>
    <t xml:space="preserve">TestKYC20</t>
  </si>
  <si>
    <t xml:space="preserve">FVCIs</t>
  </si>
  <si>
    <t xml:space="preserve">SRK Test</t>
  </si>
  <si>
    <t xml:space="preserve">SRKTEST1</t>
  </si>
  <si>
    <t xml:space="preserve">Raichand Limited</t>
  </si>
  <si>
    <t xml:space="preserve">Yash Raichand:ABCDE1234E:29/01/1965,Rahul Raichand:0:09/11/1992,Rohan Raichand:ABCDE5678R:0,Anjali Raichand:0:0</t>
  </si>
  <si>
    <t xml:space="preserve">Mehra Private Limited</t>
  </si>
  <si>
    <t xml:space="preserve">QWERT1234E</t>
  </si>
  <si>
    <t xml:space="preserve">Rahul Khanna:ABCDE1234E:29/01/1965,Anjali Khanna:0:09/11/1992,Anjali Sharma:ABCDE5678R:0,Tina Malhotra:0:0,Aman Mehra:0:0</t>
  </si>
  <si>
    <t xml:space="preserve">Mehra Public Limited</t>
  </si>
  <si>
    <t xml:space="preserve">ABCDE1234F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</si>
</sst>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47265625" defaultRowHeight="18" zeroHeight="false" outlineLevelRow="0" outlineLevelCol="0"/>
  <cols>
    <col collapsed="false" customWidth="true" hidden="false" outlineLevel="0" max="1" min="1" style="0" width="13.3"/>
    <col collapsed="false" customWidth="true" hidden="false" outlineLevel="0" max="2" min="2" style="0" width="128.15"/>
    <col collapsed="false" customWidth="true" hidden="false" outlineLevel="0" max="3" min="3" style="0" width="33.86"/>
    <col collapsed="false" customWidth="true" hidden="false" outlineLevel="0" max="4" min="4" style="0" width="16.93"/>
    <col collapsed="false" customWidth="true" hidden="false" outlineLevel="0" max="5" min="5" style="0" width="18.14"/>
    <col collapsed="false" customWidth="true" hidden="false" outlineLevel="0" max="7" min="6" style="0" width="49.57"/>
    <col collapsed="false" customWidth="true" hidden="false" outlineLevel="0" max="8" min="8" style="0" width="15.72"/>
    <col collapsed="false" customWidth="true" hidden="false" outlineLevel="0" max="10" min="9" style="0" width="14.51"/>
    <col collapsed="false" customWidth="true" hidden="false" outlineLevel="0" max="11" min="11" style="0" width="16.93"/>
    <col collapsed="false" customWidth="true" hidden="false" outlineLevel="0" max="12" min="12" style="0" width="26.59"/>
    <col collapsed="false" customWidth="true" hidden="false" outlineLevel="0" max="13" min="13" style="0" width="19.34"/>
    <col collapsed="false" customWidth="true" hidden="false" outlineLevel="0" max="14" min="14" style="0" width="21.77"/>
    <col collapsed="false" customWidth="true" hidden="false" outlineLevel="0" max="15" min="15" style="0" width="16.93"/>
    <col collapsed="false" customWidth="true" hidden="false" outlineLevel="0" max="16" min="16" style="0" width="13.3"/>
    <col collapsed="false" customWidth="true" hidden="false" outlineLevel="0" max="17" min="17" style="0" width="16.93"/>
    <col collapsed="false" customWidth="true" hidden="false" outlineLevel="0" max="18" min="18" style="0" width="12.09"/>
    <col collapsed="false" customWidth="true" hidden="false" outlineLevel="0" max="19" min="19" style="0" width="53.2"/>
    <col collapsed="false" customWidth="true" hidden="false" outlineLevel="0" max="20" min="20" style="0" width="35.06"/>
    <col collapsed="false" customWidth="true" hidden="false" outlineLevel="0" max="21" min="21" style="0" width="22.97"/>
    <col collapsed="false" customWidth="true" hidden="false" outlineLevel="0" max="22" min="22" style="0" width="19.34"/>
    <col collapsed="false" customWidth="true" hidden="false" outlineLevel="0" max="23" min="23" style="0" width="22.97"/>
    <col collapsed="false" customWidth="true" hidden="false" outlineLevel="0" max="24" min="24" style="0" width="25.39"/>
    <col collapsed="false" customWidth="true" hidden="false" outlineLevel="0" max="26" min="25" style="0" width="18.14"/>
    <col collapsed="false" customWidth="true" hidden="false" outlineLevel="0" max="27" min="27" style="0" width="35.06"/>
    <col collapsed="false" customWidth="true" hidden="false" outlineLevel="0" max="28" min="28" style="0" width="22.97"/>
    <col collapsed="false" customWidth="true" hidden="false" outlineLevel="0" max="29" min="29" style="0" width="33.86"/>
    <col collapsed="false" customWidth="true" hidden="false" outlineLevel="0" max="30" min="30" style="0" width="19.34"/>
    <col collapsed="false" customWidth="true" hidden="false" outlineLevel="0" max="32" min="31" style="0" width="16.93"/>
    <col collapsed="false" customWidth="true" hidden="false" outlineLevel="0" max="34" min="33" style="0" width="8.46"/>
    <col collapsed="false" customWidth="true" hidden="false" outlineLevel="0" max="35" min="35" style="0" width="9.67"/>
    <col collapsed="false" customWidth="true" hidden="false" outlineLevel="0" max="36" min="36" style="0" width="13.3"/>
    <col collapsed="false" customWidth="true" hidden="false" outlineLevel="0" max="37" min="37" style="0" width="12.09"/>
    <col collapsed="false" customWidth="true" hidden="false" outlineLevel="0" max="38" min="38" style="0" width="19.34"/>
    <col collapsed="false" customWidth="true" hidden="false" outlineLevel="0" max="39" min="39" style="0" width="38.68"/>
    <col collapsed="false" customWidth="true" hidden="false" outlineLevel="0" max="41" min="40" style="0" width="36.27"/>
    <col collapsed="false" customWidth="true" hidden="false" outlineLevel="0" max="42" min="42" style="0" width="35.06"/>
    <col collapsed="false" customWidth="true" hidden="false" outlineLevel="0" max="43" min="43" style="0" width="37.48"/>
    <col collapsed="false" customWidth="true" hidden="false" outlineLevel="0" max="44" min="44" style="0" width="49.57"/>
    <col collapsed="false" customWidth="true" hidden="false" outlineLevel="0" max="45" min="45" style="0" width="18.14"/>
    <col collapsed="false" customWidth="true" hidden="false" outlineLevel="0" max="46" min="46" style="0" width="29.02"/>
    <col collapsed="false" customWidth="true" hidden="false" outlineLevel="0" max="47" min="47" style="0" width="16.93"/>
    <col collapsed="false" customWidth="true" hidden="false" outlineLevel="0" max="48" min="48" style="0" width="19.34"/>
    <col collapsed="false" customWidth="true" hidden="false" outlineLevel="0" max="49" min="49" style="0" width="8.46"/>
    <col collapsed="false" customWidth="true" hidden="false" outlineLevel="0" max="50" min="50" style="0" width="10.88"/>
    <col collapsed="false" customWidth="true" hidden="false" outlineLevel="0" max="51" min="51" style="0" width="7.25"/>
    <col collapsed="false" customWidth="true" hidden="false" outlineLevel="0" max="54" min="52" style="0" width="32.64"/>
    <col collapsed="false" customWidth="true" hidden="false" outlineLevel="0" max="55" min="55" style="0" width="30.23"/>
    <col collapsed="false" customWidth="true" hidden="false" outlineLevel="0" max="56" min="56" style="0" width="35.06"/>
    <col collapsed="false" customWidth="true" hidden="false" outlineLevel="0" max="62" min="57" style="0" width="39.9"/>
    <col collapsed="false" customWidth="true" hidden="false" outlineLevel="0" max="65" min="63" style="0" width="41.11"/>
    <col collapsed="false" customWidth="true" hidden="false" outlineLevel="0" max="67" min="66" style="0" width="20.55"/>
    <col collapsed="false" customWidth="true" hidden="false" outlineLevel="0" max="68" min="68" style="0" width="14.51"/>
    <col collapsed="false" customWidth="true" hidden="false" outlineLevel="0" max="69" min="69" style="0" width="9.67"/>
    <col collapsed="false" customWidth="true" hidden="false" outlineLevel="0" max="70" min="70" style="0" width="25.39"/>
    <col collapsed="false" customWidth="true" hidden="false" outlineLevel="0" max="71" min="71" style="0" width="22.97"/>
    <col collapsed="false" customWidth="true" hidden="false" outlineLevel="0" max="72" min="72" style="0" width="16.93"/>
    <col collapsed="false" customWidth="true" hidden="false" outlineLevel="0" max="73" min="73" style="0" width="24.18"/>
    <col collapsed="false" customWidth="true" hidden="false" outlineLevel="0" max="74" min="74" style="0" width="65.29"/>
  </cols>
  <sheetData>
    <row r="1" customFormat="false" ht="1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20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customFormat="false" ht="18" hidden="false" customHeight="false" outlineLevel="0" collapsed="false">
      <c r="A2" s="1" t="s">
        <v>73</v>
      </c>
      <c r="B2" s="1" t="s">
        <v>74</v>
      </c>
      <c r="C2" s="1"/>
      <c r="D2" s="1" t="s">
        <v>75</v>
      </c>
      <c r="E2" s="1" t="s">
        <v>76</v>
      </c>
      <c r="F2" s="1" t="s">
        <v>77</v>
      </c>
      <c r="G2" s="1" t="s">
        <v>77</v>
      </c>
      <c r="H2" s="1" t="s">
        <v>78</v>
      </c>
      <c r="I2" s="1"/>
      <c r="J2" s="1"/>
      <c r="K2" s="1"/>
      <c r="L2" s="1" t="n">
        <v>2346898830</v>
      </c>
      <c r="M2" s="1" t="s">
        <v>79</v>
      </c>
      <c r="N2" s="1"/>
      <c r="O2" s="1" t="s">
        <v>80</v>
      </c>
      <c r="P2" s="2" t="b">
        <f aca="false">FALSE()</f>
        <v>0</v>
      </c>
      <c r="Q2" s="1"/>
      <c r="R2" s="2" t="b">
        <f aca="false">FALSE()</f>
        <v>0</v>
      </c>
      <c r="S2" s="1"/>
      <c r="T2" s="1" t="n">
        <v>5000000</v>
      </c>
      <c r="U2" s="1" t="n">
        <v>0</v>
      </c>
      <c r="V2" s="1" t="n">
        <v>0</v>
      </c>
      <c r="W2" s="1" t="n">
        <v>0</v>
      </c>
      <c r="X2" s="1" t="n">
        <v>0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customFormat="false" ht="18" hidden="false" customHeight="false" outlineLevel="0" collapsed="false">
      <c r="A3" s="1" t="s">
        <v>81</v>
      </c>
      <c r="B3" s="1" t="s">
        <v>82</v>
      </c>
      <c r="C3" s="1"/>
      <c r="D3" s="1" t="s">
        <v>83</v>
      </c>
      <c r="E3" s="1" t="s">
        <v>79</v>
      </c>
      <c r="F3" s="1" t="s">
        <v>84</v>
      </c>
      <c r="G3" s="1"/>
      <c r="H3" s="1" t="s">
        <v>78</v>
      </c>
      <c r="I3" s="1" t="s">
        <v>85</v>
      </c>
      <c r="J3" s="1"/>
      <c r="K3" s="1"/>
      <c r="L3" s="1" t="n">
        <v>50100169434100</v>
      </c>
      <c r="M3" s="1" t="s">
        <v>79</v>
      </c>
      <c r="N3" s="1" t="s">
        <v>86</v>
      </c>
      <c r="O3" s="1" t="s">
        <v>87</v>
      </c>
      <c r="P3" s="2" t="b">
        <f aca="false">TRUE()</f>
        <v>1</v>
      </c>
      <c r="Q3" s="1"/>
      <c r="R3" s="2" t="b">
        <f aca="false">FALSE()</f>
        <v>0</v>
      </c>
      <c r="S3" s="1"/>
      <c r="T3" s="1" t="n">
        <v>10000000</v>
      </c>
      <c r="U3" s="1" t="n">
        <v>85999999</v>
      </c>
      <c r="V3" s="1" t="n">
        <v>38399999.8</v>
      </c>
      <c r="W3" s="1" t="n">
        <v>27100000</v>
      </c>
      <c r="X3" s="1" t="n">
        <v>763114.98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 t="s">
        <v>88</v>
      </c>
      <c r="AK3" s="1"/>
      <c r="AL3" s="1" t="s">
        <v>79</v>
      </c>
      <c r="AM3" s="1"/>
      <c r="AN3" s="1"/>
      <c r="AO3" s="1"/>
      <c r="AP3" s="1"/>
      <c r="AQ3" s="1" t="s">
        <v>76</v>
      </c>
      <c r="AR3" s="1"/>
      <c r="AS3" s="1"/>
      <c r="AT3" s="1"/>
      <c r="AU3" s="1"/>
      <c r="AV3" s="1" t="s">
        <v>76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 t="s">
        <v>89</v>
      </c>
      <c r="BV3" s="1" t="s">
        <v>90</v>
      </c>
    </row>
    <row r="4" customFormat="false" ht="18" hidden="false" customHeight="false" outlineLevel="0" collapsed="false">
      <c r="A4" s="1" t="s">
        <v>91</v>
      </c>
      <c r="B4" s="1" t="s">
        <v>92</v>
      </c>
      <c r="C4" s="1"/>
      <c r="D4" s="1" t="s">
        <v>93</v>
      </c>
      <c r="E4" s="1" t="s">
        <v>79</v>
      </c>
      <c r="F4" s="1" t="s">
        <v>94</v>
      </c>
      <c r="G4" s="1"/>
      <c r="H4" s="1" t="s">
        <v>78</v>
      </c>
      <c r="I4" s="1" t="s">
        <v>85</v>
      </c>
      <c r="J4" s="1"/>
      <c r="K4" s="1"/>
      <c r="L4" s="1" t="n">
        <v>50100265170502</v>
      </c>
      <c r="M4" s="1" t="s">
        <v>79</v>
      </c>
      <c r="N4" s="1" t="s">
        <v>86</v>
      </c>
      <c r="O4" s="1" t="s">
        <v>87</v>
      </c>
      <c r="P4" s="2" t="b">
        <f aca="false">TRUE()</f>
        <v>1</v>
      </c>
      <c r="Q4" s="1"/>
      <c r="R4" s="2" t="b">
        <f aca="false">FALSE()</f>
        <v>0</v>
      </c>
      <c r="S4" s="1"/>
      <c r="T4" s="1" t="n">
        <v>2500000</v>
      </c>
      <c r="U4" s="1" t="n">
        <v>121000000</v>
      </c>
      <c r="V4" s="1" t="n">
        <v>61900000</v>
      </c>
      <c r="W4" s="1" t="n">
        <v>50000000</v>
      </c>
      <c r="X4" s="1" t="n">
        <v>1477400.7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 t="s">
        <v>88</v>
      </c>
      <c r="AK4" s="1"/>
      <c r="AL4" s="1" t="s">
        <v>79</v>
      </c>
      <c r="AM4" s="1"/>
      <c r="AN4" s="1"/>
      <c r="AO4" s="1"/>
      <c r="AP4" s="1"/>
      <c r="AQ4" s="1" t="s">
        <v>76</v>
      </c>
      <c r="AR4" s="1"/>
      <c r="AS4" s="1"/>
      <c r="AT4" s="1"/>
      <c r="AU4" s="1"/>
      <c r="AV4" s="1" t="s">
        <v>76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 t="s">
        <v>89</v>
      </c>
      <c r="BV4" s="1" t="s">
        <v>90</v>
      </c>
    </row>
    <row r="5" customFormat="false" ht="18" hidden="false" customHeight="false" outlineLevel="0" collapsed="false">
      <c r="A5" s="1" t="s">
        <v>95</v>
      </c>
      <c r="B5" s="1" t="s">
        <v>96</v>
      </c>
      <c r="C5" s="1"/>
      <c r="D5" s="1" t="s">
        <v>97</v>
      </c>
      <c r="E5" s="1" t="s">
        <v>79</v>
      </c>
      <c r="F5" s="1" t="s">
        <v>98</v>
      </c>
      <c r="G5" s="1"/>
      <c r="H5" s="1" t="s">
        <v>78</v>
      </c>
      <c r="I5" s="1" t="s">
        <v>85</v>
      </c>
      <c r="J5" s="1"/>
      <c r="K5" s="1"/>
      <c r="L5" s="1" t="n">
        <v>50100174601251</v>
      </c>
      <c r="M5" s="1" t="s">
        <v>79</v>
      </c>
      <c r="N5" s="1" t="s">
        <v>86</v>
      </c>
      <c r="O5" s="1" t="s">
        <v>87</v>
      </c>
      <c r="P5" s="2" t="b">
        <f aca="false">TRUE()</f>
        <v>1</v>
      </c>
      <c r="Q5" s="1"/>
      <c r="R5" s="2" t="b">
        <f aca="false">FALSE()</f>
        <v>0</v>
      </c>
      <c r="S5" s="1"/>
      <c r="T5" s="1" t="n">
        <v>0</v>
      </c>
      <c r="U5" s="1" t="n">
        <v>61000000</v>
      </c>
      <c r="V5" s="1" t="n">
        <v>34100000</v>
      </c>
      <c r="W5" s="1" t="n">
        <v>25100011</v>
      </c>
      <c r="X5" s="1" t="n">
        <v>738968.64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 t="s">
        <v>88</v>
      </c>
      <c r="AK5" s="1"/>
      <c r="AL5" s="1" t="s">
        <v>79</v>
      </c>
      <c r="AM5" s="1"/>
      <c r="AN5" s="1"/>
      <c r="AO5" s="1"/>
      <c r="AP5" s="1"/>
      <c r="AQ5" s="1" t="s">
        <v>76</v>
      </c>
      <c r="AR5" s="1"/>
      <c r="AS5" s="1"/>
      <c r="AT5" s="1"/>
      <c r="AU5" s="1"/>
      <c r="AV5" s="1" t="s">
        <v>76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 t="s">
        <v>89</v>
      </c>
      <c r="BV5" s="1" t="s">
        <v>90</v>
      </c>
    </row>
    <row r="6" customFormat="false" ht="18" hidden="false" customHeight="false" outlineLevel="0" collapsed="false">
      <c r="A6" s="1" t="s">
        <v>73</v>
      </c>
      <c r="B6" s="1" t="s">
        <v>99</v>
      </c>
      <c r="C6" s="3" t="n">
        <v>33669</v>
      </c>
      <c r="D6" s="1" t="s">
        <v>100</v>
      </c>
      <c r="E6" s="1" t="s">
        <v>76</v>
      </c>
      <c r="F6" s="1" t="s">
        <v>101</v>
      </c>
      <c r="G6" s="1"/>
      <c r="H6" s="1" t="s">
        <v>78</v>
      </c>
      <c r="I6" s="1" t="s">
        <v>85</v>
      </c>
      <c r="J6" s="1"/>
      <c r="K6" s="1"/>
      <c r="L6" s="1" t="n">
        <v>501046891311</v>
      </c>
      <c r="M6" s="1" t="s">
        <v>79</v>
      </c>
      <c r="N6" s="1" t="s">
        <v>86</v>
      </c>
      <c r="O6" s="1" t="s">
        <v>102</v>
      </c>
      <c r="P6" s="2" t="b">
        <f aca="false">TRUE()</f>
        <v>1</v>
      </c>
      <c r="Q6" s="1"/>
      <c r="R6" s="2" t="b">
        <f aca="false">FALSE()</f>
        <v>0</v>
      </c>
      <c r="S6" s="1"/>
      <c r="T6" s="1" t="n">
        <v>0</v>
      </c>
      <c r="U6" s="1" t="n">
        <v>20000000</v>
      </c>
      <c r="V6" s="1" t="n">
        <v>11900000</v>
      </c>
      <c r="W6" s="1" t="n">
        <v>0</v>
      </c>
      <c r="X6" s="1" t="n">
        <v>22000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 t="s">
        <v>88</v>
      </c>
      <c r="AK6" s="1"/>
      <c r="AL6" s="1" t="s">
        <v>79</v>
      </c>
      <c r="AM6" s="1"/>
      <c r="AN6" s="1"/>
      <c r="AO6" s="1"/>
      <c r="AP6" s="1"/>
      <c r="AQ6" s="1" t="s">
        <v>76</v>
      </c>
      <c r="AR6" s="1"/>
      <c r="AS6" s="1"/>
      <c r="AT6" s="1"/>
      <c r="AU6" s="1"/>
      <c r="AV6" s="1" t="s">
        <v>76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 t="s">
        <v>89</v>
      </c>
      <c r="BV6" s="1" t="s">
        <v>90</v>
      </c>
    </row>
    <row r="7" customFormat="false" ht="18" hidden="false" customHeight="false" outlineLevel="0" collapsed="false">
      <c r="A7" s="1" t="s">
        <v>73</v>
      </c>
      <c r="B7" s="1" t="s">
        <v>103</v>
      </c>
      <c r="C7" s="3" t="n">
        <v>35341</v>
      </c>
      <c r="D7" s="1" t="s">
        <v>104</v>
      </c>
      <c r="E7" s="1" t="s">
        <v>79</v>
      </c>
      <c r="F7" s="1" t="s">
        <v>105</v>
      </c>
      <c r="G7" s="1"/>
      <c r="H7" s="1" t="s">
        <v>78</v>
      </c>
      <c r="I7" s="1"/>
      <c r="J7" s="1"/>
      <c r="K7" s="1"/>
      <c r="L7" s="1"/>
      <c r="M7" s="1" t="s">
        <v>79</v>
      </c>
      <c r="N7" s="1"/>
      <c r="O7" s="1"/>
      <c r="P7" s="2" t="b">
        <f aca="false">TRUE()</f>
        <v>1</v>
      </c>
      <c r="Q7" s="1"/>
      <c r="R7" s="2" t="b">
        <f aca="false">FALSE()</f>
        <v>0</v>
      </c>
      <c r="S7" s="1"/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customFormat="false" ht="18" hidden="false" customHeight="false" outlineLevel="0" collapsed="false">
      <c r="A8" s="1" t="s">
        <v>73</v>
      </c>
      <c r="B8" s="1" t="s">
        <v>106</v>
      </c>
      <c r="C8" s="3" t="n">
        <v>35342</v>
      </c>
      <c r="D8" s="1" t="s">
        <v>107</v>
      </c>
      <c r="E8" s="1" t="s">
        <v>79</v>
      </c>
      <c r="F8" s="1"/>
      <c r="G8" s="1"/>
      <c r="H8" s="1" t="s">
        <v>78</v>
      </c>
      <c r="I8" s="1"/>
      <c r="J8" s="1"/>
      <c r="K8" s="1"/>
      <c r="L8" s="1"/>
      <c r="M8" s="1" t="s">
        <v>79</v>
      </c>
      <c r="N8" s="1"/>
      <c r="O8" s="1"/>
      <c r="P8" s="2" t="b">
        <f aca="false">TRUE()</f>
        <v>1</v>
      </c>
      <c r="Q8" s="1"/>
      <c r="R8" s="2" t="b">
        <f aca="false">FALSE()</f>
        <v>0</v>
      </c>
      <c r="S8" s="1"/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</row>
    <row r="9" customFormat="false" ht="18" hidden="false" customHeight="false" outlineLevel="0" collapsed="false">
      <c r="A9" s="1" t="s">
        <v>73</v>
      </c>
      <c r="B9" s="1" t="s">
        <v>108</v>
      </c>
      <c r="C9" s="3" t="n">
        <v>35342</v>
      </c>
      <c r="D9" s="1" t="s">
        <v>109</v>
      </c>
      <c r="E9" s="1" t="s">
        <v>79</v>
      </c>
      <c r="F9" s="1" t="s">
        <v>110</v>
      </c>
      <c r="G9" s="1"/>
      <c r="H9" s="1" t="s">
        <v>78</v>
      </c>
      <c r="I9" s="1" t="s">
        <v>85</v>
      </c>
      <c r="J9" s="1"/>
      <c r="K9" s="1"/>
      <c r="L9" s="1"/>
      <c r="M9" s="1" t="s">
        <v>79</v>
      </c>
      <c r="N9" s="1" t="s">
        <v>86</v>
      </c>
      <c r="O9" s="1"/>
      <c r="P9" s="2" t="b">
        <f aca="false">FALSE()</f>
        <v>0</v>
      </c>
      <c r="Q9" s="1"/>
      <c r="R9" s="2" t="b">
        <f aca="false">FALSE()</f>
        <v>0</v>
      </c>
      <c r="S9" s="1"/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</row>
    <row r="10" customFormat="false" ht="18" hidden="false" customHeight="false" outlineLevel="0" collapsed="false">
      <c r="A10" s="1" t="s">
        <v>111</v>
      </c>
      <c r="B10" s="1" t="s">
        <v>112</v>
      </c>
      <c r="C10" s="3" t="n">
        <v>33086</v>
      </c>
      <c r="D10" s="1" t="s">
        <v>113</v>
      </c>
      <c r="E10" s="1" t="s">
        <v>76</v>
      </c>
      <c r="F10" s="1" t="s">
        <v>114</v>
      </c>
      <c r="G10" s="1" t="s">
        <v>114</v>
      </c>
      <c r="H10" s="1" t="s">
        <v>78</v>
      </c>
      <c r="I10" s="1" t="s">
        <v>85</v>
      </c>
      <c r="J10" s="1" t="s">
        <v>115</v>
      </c>
      <c r="K10" s="1" t="s">
        <v>115</v>
      </c>
      <c r="L10" s="1" t="n">
        <v>119874084024</v>
      </c>
      <c r="M10" s="1" t="s">
        <v>79</v>
      </c>
      <c r="N10" s="1" t="s">
        <v>86</v>
      </c>
      <c r="O10" s="1" t="s">
        <v>116</v>
      </c>
      <c r="P10" s="2" t="b">
        <f aca="false">FALSE()</f>
        <v>0</v>
      </c>
      <c r="Q10" s="1"/>
      <c r="R10" s="2" t="b">
        <f aca="false">FALSE()</f>
        <v>0</v>
      </c>
      <c r="S10" s="1" t="s">
        <v>117</v>
      </c>
      <c r="T10" s="1" t="n">
        <v>7500000</v>
      </c>
      <c r="U10" s="1" t="n">
        <v>1101100000</v>
      </c>
      <c r="V10" s="1" t="n">
        <v>729402300</v>
      </c>
      <c r="W10" s="1" t="n">
        <v>719400000</v>
      </c>
      <c r="X10" s="1" t="n">
        <v>7582682.4</v>
      </c>
      <c r="Y10" s="1" t="s">
        <v>118</v>
      </c>
      <c r="Z10" s="1" t="s">
        <v>118</v>
      </c>
      <c r="AA10" s="1" t="s">
        <v>119</v>
      </c>
      <c r="AB10" s="1" t="s">
        <v>118</v>
      </c>
      <c r="AC10" s="1" t="s">
        <v>120</v>
      </c>
      <c r="AD10" s="1" t="s">
        <v>121</v>
      </c>
      <c r="AE10" s="1" t="s">
        <v>115</v>
      </c>
      <c r="AF10" s="1" t="s">
        <v>115</v>
      </c>
      <c r="AG10" s="1" t="s">
        <v>115</v>
      </c>
      <c r="AH10" s="1" t="s">
        <v>115</v>
      </c>
      <c r="AI10" s="1" t="s">
        <v>115</v>
      </c>
      <c r="AJ10" s="1" t="s">
        <v>122</v>
      </c>
      <c r="AK10" s="1"/>
      <c r="AL10" s="1" t="s">
        <v>79</v>
      </c>
      <c r="AM10" s="1" t="s">
        <v>123</v>
      </c>
      <c r="AN10" s="1"/>
      <c r="AO10" s="1"/>
      <c r="AP10" s="1"/>
      <c r="AQ10" s="1" t="s">
        <v>76</v>
      </c>
      <c r="AR10" s="1"/>
      <c r="AS10" s="1"/>
      <c r="AT10" s="1"/>
      <c r="AU10" s="1"/>
      <c r="AV10" s="1" t="s">
        <v>79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</row>
    <row r="11" customFormat="false" ht="18" hidden="false" customHeight="false" outlineLevel="0" collapsed="false">
      <c r="A11" s="1" t="s">
        <v>111</v>
      </c>
      <c r="B11" s="1" t="s">
        <v>124</v>
      </c>
      <c r="C11" s="3" t="n">
        <v>33058</v>
      </c>
      <c r="D11" s="1" t="s">
        <v>125</v>
      </c>
      <c r="E11" s="1" t="s">
        <v>79</v>
      </c>
      <c r="F11" s="1" t="s">
        <v>126</v>
      </c>
      <c r="G11" s="1" t="s">
        <v>127</v>
      </c>
      <c r="H11" s="1" t="s">
        <v>78</v>
      </c>
      <c r="I11" s="1" t="s">
        <v>85</v>
      </c>
      <c r="J11" s="1" t="s">
        <v>128</v>
      </c>
      <c r="K11" s="1" t="s">
        <v>128</v>
      </c>
      <c r="L11" s="1" t="n">
        <v>211312639712321</v>
      </c>
      <c r="M11" s="1" t="s">
        <v>79</v>
      </c>
      <c r="N11" s="1" t="s">
        <v>86</v>
      </c>
      <c r="O11" s="1" t="s">
        <v>129</v>
      </c>
      <c r="P11" s="2" t="b">
        <f aca="false">TRUE()</f>
        <v>1</v>
      </c>
      <c r="Q11" s="1"/>
      <c r="R11" s="2" t="b">
        <f aca="false">FALSE()</f>
        <v>0</v>
      </c>
      <c r="S11" s="1"/>
      <c r="T11" s="1" t="n">
        <v>0</v>
      </c>
      <c r="U11" s="1" t="n">
        <v>30000000</v>
      </c>
      <c r="V11" s="1" t="n">
        <v>10900000</v>
      </c>
      <c r="W11" s="1" t="n">
        <v>3650000</v>
      </c>
      <c r="X11" s="1" t="n">
        <v>622000</v>
      </c>
      <c r="Y11" s="1" t="s">
        <v>128</v>
      </c>
      <c r="Z11" s="1" t="s">
        <v>128</v>
      </c>
      <c r="AA11" s="1" t="s">
        <v>119</v>
      </c>
      <c r="AB11" s="1" t="n">
        <v>1000000</v>
      </c>
      <c r="AC11" s="1" t="s">
        <v>120</v>
      </c>
      <c r="AD11" s="1" t="s">
        <v>128</v>
      </c>
      <c r="AE11" s="1" t="s">
        <v>128</v>
      </c>
      <c r="AF11" s="1" t="s">
        <v>128</v>
      </c>
      <c r="AG11" s="1" t="s">
        <v>128</v>
      </c>
      <c r="AH11" s="1" t="s">
        <v>128</v>
      </c>
      <c r="AI11" s="1" t="s">
        <v>128</v>
      </c>
      <c r="AJ11" s="1" t="s">
        <v>88</v>
      </c>
      <c r="AK11" s="1"/>
      <c r="AL11" s="1" t="s">
        <v>79</v>
      </c>
      <c r="AM11" s="1"/>
      <c r="AN11" s="1"/>
      <c r="AO11" s="1"/>
      <c r="AP11" s="1"/>
      <c r="AQ11" s="1" t="s">
        <v>76</v>
      </c>
      <c r="AR11" s="1"/>
      <c r="AS11" s="1"/>
      <c r="AT11" s="1"/>
      <c r="AU11" s="1"/>
      <c r="AV11" s="1" t="s">
        <v>79</v>
      </c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 t="s">
        <v>89</v>
      </c>
      <c r="BV11" s="1" t="s">
        <v>90</v>
      </c>
    </row>
    <row r="12" customFormat="false" ht="18" hidden="false" customHeight="false" outlineLevel="0" collapsed="false">
      <c r="A12" s="1" t="s">
        <v>111</v>
      </c>
      <c r="B12" s="1" t="s">
        <v>130</v>
      </c>
      <c r="C12" s="1"/>
      <c r="D12" s="1" t="s">
        <v>131</v>
      </c>
      <c r="E12" s="1" t="s">
        <v>79</v>
      </c>
      <c r="F12" s="1" t="s">
        <v>132</v>
      </c>
      <c r="G12" s="1"/>
      <c r="H12" s="1" t="s">
        <v>78</v>
      </c>
      <c r="I12" s="1" t="s">
        <v>85</v>
      </c>
      <c r="J12" s="1"/>
      <c r="K12" s="1"/>
      <c r="L12" s="1"/>
      <c r="M12" s="1" t="s">
        <v>79</v>
      </c>
      <c r="N12" s="1" t="s">
        <v>86</v>
      </c>
      <c r="O12" s="1"/>
      <c r="P12" s="2" t="b">
        <f aca="false">TRUE()</f>
        <v>1</v>
      </c>
      <c r="Q12" s="1"/>
      <c r="R12" s="2" t="b">
        <f aca="false">FALSE()</f>
        <v>0</v>
      </c>
      <c r="S12" s="1" t="s">
        <v>117</v>
      </c>
      <c r="T12" s="1" t="n">
        <v>500000000</v>
      </c>
      <c r="U12" s="1" t="n">
        <v>10000000</v>
      </c>
      <c r="V12" s="1" t="n">
        <v>3000000</v>
      </c>
      <c r="W12" s="1" t="n">
        <v>0</v>
      </c>
      <c r="X12" s="1" t="n"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customFormat="false" ht="18" hidden="false" customHeight="false" outlineLevel="0" collapsed="false">
      <c r="A13" s="1" t="s">
        <v>73</v>
      </c>
      <c r="B13" s="1" t="s">
        <v>133</v>
      </c>
      <c r="C13" s="1"/>
      <c r="D13" s="1" t="s">
        <v>134</v>
      </c>
      <c r="E13" s="1" t="s">
        <v>79</v>
      </c>
      <c r="F13" s="1" t="s">
        <v>135</v>
      </c>
      <c r="G13" s="1"/>
      <c r="H13" s="1" t="s">
        <v>78</v>
      </c>
      <c r="I13" s="1"/>
      <c r="J13" s="1"/>
      <c r="K13" s="1"/>
      <c r="L13" s="1"/>
      <c r="M13" s="1" t="s">
        <v>79</v>
      </c>
      <c r="N13" s="1"/>
      <c r="O13" s="1"/>
      <c r="P13" s="2" t="b">
        <f aca="false">TRUE()</f>
        <v>1</v>
      </c>
      <c r="Q13" s="1"/>
      <c r="R13" s="2" t="b">
        <f aca="false">FALSE()</f>
        <v>0</v>
      </c>
      <c r="S13" s="1"/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</row>
    <row r="14" customFormat="false" ht="18" hidden="false" customHeight="false" outlineLevel="0" collapsed="false">
      <c r="A14" s="1" t="s">
        <v>73</v>
      </c>
      <c r="B14" s="1" t="s">
        <v>136</v>
      </c>
      <c r="C14" s="1"/>
      <c r="D14" s="1" t="s">
        <v>107</v>
      </c>
      <c r="E14" s="1" t="s">
        <v>79</v>
      </c>
      <c r="F14" s="1"/>
      <c r="G14" s="1"/>
      <c r="H14" s="1" t="s">
        <v>78</v>
      </c>
      <c r="I14" s="1"/>
      <c r="J14" s="1"/>
      <c r="K14" s="1"/>
      <c r="L14" s="1"/>
      <c r="M14" s="1" t="s">
        <v>79</v>
      </c>
      <c r="N14" s="1"/>
      <c r="O14" s="1"/>
      <c r="P14" s="2" t="b">
        <f aca="false">TRUE()</f>
        <v>1</v>
      </c>
      <c r="Q14" s="1"/>
      <c r="R14" s="2" t="b">
        <f aca="false">FALSE()</f>
        <v>0</v>
      </c>
      <c r="S14" s="1"/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</row>
    <row r="15" customFormat="false" ht="18" hidden="false" customHeight="false" outlineLevel="0" collapsed="false">
      <c r="A15" s="1" t="s">
        <v>111</v>
      </c>
      <c r="B15" s="1" t="s">
        <v>137</v>
      </c>
      <c r="C15" s="3" t="n">
        <v>29221</v>
      </c>
      <c r="D15" s="1" t="s">
        <v>138</v>
      </c>
      <c r="E15" s="1" t="s">
        <v>79</v>
      </c>
      <c r="F15" s="1" t="s">
        <v>139</v>
      </c>
      <c r="G15" s="1" t="s">
        <v>139</v>
      </c>
      <c r="H15" s="1" t="s">
        <v>78</v>
      </c>
      <c r="I15" s="1" t="s">
        <v>85</v>
      </c>
      <c r="J15" s="1"/>
      <c r="K15" s="1"/>
      <c r="L15" s="1" t="n">
        <v>2738921912301</v>
      </c>
      <c r="M15" s="1" t="s">
        <v>79</v>
      </c>
      <c r="N15" s="1" t="s">
        <v>86</v>
      </c>
      <c r="O15" s="1" t="s">
        <v>140</v>
      </c>
      <c r="P15" s="2" t="b">
        <f aca="false">TRUE()</f>
        <v>1</v>
      </c>
      <c r="Q15" s="1"/>
      <c r="R15" s="2" t="b">
        <f aca="false">FALSE()</f>
        <v>0</v>
      </c>
      <c r="S15" s="1"/>
      <c r="T15" s="1" t="n">
        <v>50000000</v>
      </c>
      <c r="U15" s="1" t="n">
        <v>35000000</v>
      </c>
      <c r="V15" s="1" t="n">
        <v>15305000</v>
      </c>
      <c r="W15" s="1" t="n">
        <v>6890000</v>
      </c>
      <c r="X15" s="1" t="n">
        <v>60010.43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 t="s">
        <v>88</v>
      </c>
      <c r="AK15" s="1"/>
      <c r="AL15" s="1" t="s">
        <v>79</v>
      </c>
      <c r="AM15" s="1"/>
      <c r="AN15" s="1"/>
      <c r="AO15" s="1"/>
      <c r="AP15" s="1"/>
      <c r="AQ15" s="1" t="s">
        <v>76</v>
      </c>
      <c r="AR15" s="1"/>
      <c r="AS15" s="1"/>
      <c r="AT15" s="1"/>
      <c r="AU15" s="1"/>
      <c r="AV15" s="1" t="s">
        <v>76</v>
      </c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customFormat="false" ht="18" hidden="false" customHeight="false" outlineLevel="0" collapsed="false">
      <c r="A16" s="1" t="s">
        <v>73</v>
      </c>
      <c r="B16" s="1" t="s">
        <v>141</v>
      </c>
      <c r="C16" s="3" t="n">
        <v>32874</v>
      </c>
      <c r="D16" s="1" t="s">
        <v>142</v>
      </c>
      <c r="E16" s="1" t="s">
        <v>79</v>
      </c>
      <c r="F16" s="1" t="s">
        <v>143</v>
      </c>
      <c r="G16" s="1" t="s">
        <v>143</v>
      </c>
      <c r="H16" s="1" t="s">
        <v>78</v>
      </c>
      <c r="I16" s="1" t="s">
        <v>85</v>
      </c>
      <c r="J16" s="1" t="s">
        <v>144</v>
      </c>
      <c r="K16" s="1" t="s">
        <v>145</v>
      </c>
      <c r="L16" s="1" t="n">
        <v>1111111</v>
      </c>
      <c r="M16" s="1" t="s">
        <v>79</v>
      </c>
      <c r="N16" s="1" t="s">
        <v>86</v>
      </c>
      <c r="O16" s="1" t="s">
        <v>146</v>
      </c>
      <c r="P16" s="2" t="b">
        <f aca="false">TRUE()</f>
        <v>1</v>
      </c>
      <c r="Q16" s="1"/>
      <c r="R16" s="2" t="b">
        <f aca="false">FALSE()</f>
        <v>0</v>
      </c>
      <c r="S16" s="1"/>
      <c r="T16" s="1" t="n">
        <v>2500000</v>
      </c>
      <c r="U16" s="1" t="n">
        <v>10000000</v>
      </c>
      <c r="V16" s="1" t="n">
        <v>3000000</v>
      </c>
      <c r="W16" s="1" t="n">
        <v>0</v>
      </c>
      <c r="X16" s="1" t="n">
        <v>0</v>
      </c>
      <c r="Y16" s="1" t="s">
        <v>147</v>
      </c>
      <c r="Z16" s="1" t="s">
        <v>148</v>
      </c>
      <c r="AA16" s="1" t="s">
        <v>149</v>
      </c>
      <c r="AB16" s="1"/>
      <c r="AC16" s="1" t="s">
        <v>149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customFormat="false" ht="18" hidden="false" customHeight="false" outlineLevel="0" collapsed="false">
      <c r="A17" s="1" t="s">
        <v>111</v>
      </c>
      <c r="B17" s="1"/>
      <c r="C17" s="3" t="n">
        <v>43831</v>
      </c>
      <c r="D17" s="1" t="s">
        <v>150</v>
      </c>
      <c r="E17" s="1" t="s">
        <v>79</v>
      </c>
      <c r="F17" s="1"/>
      <c r="G17" s="1"/>
      <c r="H17" s="1" t="s">
        <v>78</v>
      </c>
      <c r="I17" s="1" t="s">
        <v>85</v>
      </c>
      <c r="J17" s="1"/>
      <c r="K17" s="1"/>
      <c r="L17" s="1"/>
      <c r="M17" s="1" t="s">
        <v>79</v>
      </c>
      <c r="N17" s="1" t="s">
        <v>86</v>
      </c>
      <c r="O17" s="1"/>
      <c r="P17" s="2" t="b">
        <f aca="false">FALSE()</f>
        <v>0</v>
      </c>
      <c r="Q17" s="1"/>
      <c r="R17" s="2" t="b">
        <f aca="false">FALSE()</f>
        <v>0</v>
      </c>
      <c r="S17" s="1"/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customFormat="false" ht="18" hidden="false" customHeight="false" outlineLevel="0" collapsed="false">
      <c r="A18" s="1" t="s">
        <v>111</v>
      </c>
      <c r="B18" s="1" t="s">
        <v>151</v>
      </c>
      <c r="C18" s="3" t="n">
        <v>36620</v>
      </c>
      <c r="D18" s="1" t="s">
        <v>138</v>
      </c>
      <c r="E18" s="1" t="s">
        <v>79</v>
      </c>
      <c r="F18" s="1" t="s">
        <v>152</v>
      </c>
      <c r="G18" s="1" t="s">
        <v>152</v>
      </c>
      <c r="H18" s="1" t="s">
        <v>78</v>
      </c>
      <c r="I18" s="1" t="s">
        <v>85</v>
      </c>
      <c r="J18" s="1" t="s">
        <v>152</v>
      </c>
      <c r="K18" s="1" t="s">
        <v>152</v>
      </c>
      <c r="L18" s="1" t="s">
        <v>152</v>
      </c>
      <c r="M18" s="1" t="s">
        <v>79</v>
      </c>
      <c r="N18" s="1" t="s">
        <v>86</v>
      </c>
      <c r="O18" s="1" t="s">
        <v>152</v>
      </c>
      <c r="P18" s="2" t="b">
        <f aca="false">TRUE()</f>
        <v>1</v>
      </c>
      <c r="Q18" s="1"/>
      <c r="R18" s="2" t="b">
        <f aca="false">FALSE()</f>
        <v>0</v>
      </c>
      <c r="S18" s="1" t="s">
        <v>153</v>
      </c>
      <c r="T18" s="1" t="n">
        <v>10000000</v>
      </c>
      <c r="U18" s="1" t="n">
        <v>5000000</v>
      </c>
      <c r="V18" s="1" t="n">
        <v>500000</v>
      </c>
      <c r="W18" s="1" t="n">
        <v>500000</v>
      </c>
      <c r="X18" s="1" t="n">
        <v>0</v>
      </c>
      <c r="Y18" s="1" t="s">
        <v>152</v>
      </c>
      <c r="Z18" s="1" t="s">
        <v>152</v>
      </c>
      <c r="AA18" s="1" t="s">
        <v>120</v>
      </c>
      <c r="AB18" s="1" t="s">
        <v>152</v>
      </c>
      <c r="AC18" s="1" t="s">
        <v>120</v>
      </c>
      <c r="AD18" s="1" t="s">
        <v>152</v>
      </c>
      <c r="AE18" s="1" t="s">
        <v>152</v>
      </c>
      <c r="AF18" s="1" t="s">
        <v>152</v>
      </c>
      <c r="AG18" s="1" t="s">
        <v>152</v>
      </c>
      <c r="AH18" s="1" t="s">
        <v>152</v>
      </c>
      <c r="AI18" s="1" t="s">
        <v>152</v>
      </c>
      <c r="AJ18" s="1" t="s">
        <v>88</v>
      </c>
      <c r="AK18" s="1"/>
      <c r="AL18" s="1" t="s">
        <v>79</v>
      </c>
      <c r="AM18" s="1"/>
      <c r="AN18" s="1"/>
      <c r="AO18" s="1"/>
      <c r="AP18" s="1"/>
      <c r="AQ18" s="1" t="s">
        <v>76</v>
      </c>
      <c r="AR18" s="1"/>
      <c r="AS18" s="1"/>
      <c r="AT18" s="1"/>
      <c r="AU18" s="1"/>
      <c r="AV18" s="1" t="s">
        <v>76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 t="s">
        <v>89</v>
      </c>
      <c r="BV18" s="1" t="s">
        <v>90</v>
      </c>
    </row>
    <row r="19" customFormat="false" ht="18" hidden="false" customHeight="false" outlineLevel="0" collapsed="false">
      <c r="A19" s="1" t="s">
        <v>111</v>
      </c>
      <c r="B19" s="1" t="s">
        <v>154</v>
      </c>
      <c r="C19" s="1"/>
      <c r="D19" s="1" t="s">
        <v>155</v>
      </c>
      <c r="E19" s="1" t="s">
        <v>79</v>
      </c>
      <c r="F19" s="1"/>
      <c r="G19" s="1"/>
      <c r="H19" s="1" t="s">
        <v>78</v>
      </c>
      <c r="I19" s="1" t="s">
        <v>85</v>
      </c>
      <c r="J19" s="1"/>
      <c r="K19" s="1"/>
      <c r="L19" s="1"/>
      <c r="M19" s="1" t="s">
        <v>79</v>
      </c>
      <c r="N19" s="1" t="s">
        <v>86</v>
      </c>
      <c r="O19" s="1"/>
      <c r="P19" s="2" t="b">
        <f aca="false">TRUE()</f>
        <v>1</v>
      </c>
      <c r="Q19" s="1"/>
      <c r="R19" s="2" t="b">
        <f aca="false">FALSE()</f>
        <v>0</v>
      </c>
      <c r="S19" s="1"/>
      <c r="T19" s="1" t="n">
        <v>10000000</v>
      </c>
      <c r="U19" s="1" t="n">
        <v>10000000</v>
      </c>
      <c r="V19" s="1" t="n">
        <v>6200000</v>
      </c>
      <c r="W19" s="1" t="n">
        <v>4500000</v>
      </c>
      <c r="X19" s="1" t="n">
        <v>40010</v>
      </c>
      <c r="Y19" s="1" t="s">
        <v>115</v>
      </c>
      <c r="Z19" s="1" t="s">
        <v>128</v>
      </c>
      <c r="AA19" s="1" t="s">
        <v>119</v>
      </c>
      <c r="AB19" s="1" t="n">
        <v>21212</v>
      </c>
      <c r="AC19" s="1" t="s">
        <v>120</v>
      </c>
      <c r="AD19" s="1" t="s">
        <v>121</v>
      </c>
      <c r="AE19" s="1" t="s">
        <v>115</v>
      </c>
      <c r="AF19" s="1" t="s">
        <v>115</v>
      </c>
      <c r="AG19" s="1" t="s">
        <v>115</v>
      </c>
      <c r="AH19" s="1" t="s">
        <v>115</v>
      </c>
      <c r="AI19" s="1" t="s">
        <v>115</v>
      </c>
      <c r="AJ19" s="1" t="s">
        <v>88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</row>
    <row r="20" customFormat="false" ht="18" hidden="false" customHeight="false" outlineLevel="0" collapsed="false">
      <c r="A20" s="1" t="s">
        <v>111</v>
      </c>
      <c r="B20" s="1" t="s">
        <v>156</v>
      </c>
      <c r="C20" s="3" t="n">
        <v>36526</v>
      </c>
      <c r="D20" s="1" t="s">
        <v>115</v>
      </c>
      <c r="E20" s="1" t="s">
        <v>79</v>
      </c>
      <c r="F20" s="1" t="s">
        <v>115</v>
      </c>
      <c r="G20" s="1" t="s">
        <v>115</v>
      </c>
      <c r="H20" s="1" t="s">
        <v>78</v>
      </c>
      <c r="I20" s="1" t="s">
        <v>85</v>
      </c>
      <c r="J20" s="1" t="s">
        <v>115</v>
      </c>
      <c r="K20" s="1" t="s">
        <v>115</v>
      </c>
      <c r="L20" s="1" t="s">
        <v>115</v>
      </c>
      <c r="M20" s="1" t="s">
        <v>79</v>
      </c>
      <c r="N20" s="1" t="s">
        <v>86</v>
      </c>
      <c r="O20" s="1" t="s">
        <v>115</v>
      </c>
      <c r="P20" s="2" t="b">
        <f aca="false">FALSE()</f>
        <v>0</v>
      </c>
      <c r="Q20" s="1"/>
      <c r="R20" s="2" t="b">
        <f aca="false">FALSE()</f>
        <v>0</v>
      </c>
      <c r="S20" s="1" t="s">
        <v>115</v>
      </c>
      <c r="T20" s="1" t="n">
        <v>12121</v>
      </c>
      <c r="U20" s="1" t="n">
        <v>0</v>
      </c>
      <c r="V20" s="1" t="n">
        <v>0</v>
      </c>
      <c r="W20" s="1" t="n">
        <v>0</v>
      </c>
      <c r="X20" s="1" t="n">
        <v>0</v>
      </c>
      <c r="Y20" s="1" t="s">
        <v>115</v>
      </c>
      <c r="Z20" s="1" t="s">
        <v>115</v>
      </c>
      <c r="AA20" s="1" t="s">
        <v>119</v>
      </c>
      <c r="AB20" s="1" t="n">
        <v>1212</v>
      </c>
      <c r="AC20" s="1" t="s">
        <v>157</v>
      </c>
      <c r="AD20" s="1" t="s">
        <v>115</v>
      </c>
      <c r="AE20" s="1" t="s">
        <v>115</v>
      </c>
      <c r="AF20" s="1" t="s">
        <v>115</v>
      </c>
      <c r="AG20" s="1" t="s">
        <v>115</v>
      </c>
      <c r="AH20" s="1" t="s">
        <v>115</v>
      </c>
      <c r="AI20" s="1" t="s">
        <v>115</v>
      </c>
      <c r="AJ20" s="1" t="s">
        <v>158</v>
      </c>
      <c r="AK20" s="1" t="s">
        <v>159</v>
      </c>
      <c r="AL20" s="1" t="s">
        <v>76</v>
      </c>
      <c r="AM20" s="1" t="s">
        <v>160</v>
      </c>
      <c r="AN20" s="1"/>
      <c r="AO20" s="1"/>
      <c r="AP20" s="1" t="s">
        <v>160</v>
      </c>
      <c r="AQ20" s="1" t="s">
        <v>79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customFormat="false" ht="18" hidden="false" customHeight="false" outlineLevel="0" collapsed="false">
      <c r="A21" s="1" t="s">
        <v>111</v>
      </c>
      <c r="B21" s="1"/>
      <c r="C21" s="1"/>
      <c r="D21" s="1"/>
      <c r="E21" s="1" t="s">
        <v>79</v>
      </c>
      <c r="F21" s="1"/>
      <c r="G21" s="1"/>
      <c r="H21" s="1" t="s">
        <v>78</v>
      </c>
      <c r="I21" s="1" t="s">
        <v>85</v>
      </c>
      <c r="J21" s="1"/>
      <c r="K21" s="1"/>
      <c r="L21" s="1"/>
      <c r="M21" s="1" t="s">
        <v>79</v>
      </c>
      <c r="N21" s="1" t="s">
        <v>86</v>
      </c>
      <c r="O21" s="1"/>
      <c r="P21" s="2" t="b">
        <f aca="false">FALSE()</f>
        <v>0</v>
      </c>
      <c r="Q21" s="1"/>
      <c r="R21" s="2" t="b">
        <f aca="false">FALSE()</f>
        <v>0</v>
      </c>
      <c r="S21" s="1"/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 t="s">
        <v>88</v>
      </c>
      <c r="AK21" s="1"/>
      <c r="AL21" s="1" t="s">
        <v>79</v>
      </c>
      <c r="AM21" s="1"/>
      <c r="AN21" s="1"/>
      <c r="AO21" s="1"/>
      <c r="AP21" s="1"/>
      <c r="AQ21" s="1" t="s">
        <v>76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</row>
    <row r="22" customFormat="false" ht="18" hidden="false" customHeight="false" outlineLevel="0" collapsed="false">
      <c r="A22" s="1" t="s">
        <v>111</v>
      </c>
      <c r="B22" s="1" t="s">
        <v>161</v>
      </c>
      <c r="C22" s="3" t="n">
        <v>36526</v>
      </c>
      <c r="D22" s="1" t="s">
        <v>115</v>
      </c>
      <c r="E22" s="1" t="s">
        <v>79</v>
      </c>
      <c r="F22" s="1" t="s">
        <v>115</v>
      </c>
      <c r="G22" s="1" t="s">
        <v>115</v>
      </c>
      <c r="H22" s="1" t="s">
        <v>78</v>
      </c>
      <c r="I22" s="1" t="s">
        <v>85</v>
      </c>
      <c r="J22" s="1" t="s">
        <v>115</v>
      </c>
      <c r="K22" s="1" t="s">
        <v>115</v>
      </c>
      <c r="L22" s="1" t="s">
        <v>115</v>
      </c>
      <c r="M22" s="1" t="s">
        <v>79</v>
      </c>
      <c r="N22" s="1" t="s">
        <v>86</v>
      </c>
      <c r="O22" s="1" t="s">
        <v>115</v>
      </c>
      <c r="P22" s="2" t="b">
        <f aca="false">TRUE()</f>
        <v>1</v>
      </c>
      <c r="Q22" s="1"/>
      <c r="R22" s="2" t="b">
        <f aca="false">FALSE()</f>
        <v>0</v>
      </c>
      <c r="S22" s="1"/>
      <c r="T22" s="1" t="n">
        <v>2500000</v>
      </c>
      <c r="U22" s="1" t="n">
        <v>0</v>
      </c>
      <c r="V22" s="1" t="n">
        <v>0</v>
      </c>
      <c r="W22" s="1" t="n">
        <v>0</v>
      </c>
      <c r="X22" s="1" t="n">
        <v>0</v>
      </c>
      <c r="Y22" s="1" t="s">
        <v>115</v>
      </c>
      <c r="Z22" s="1" t="s">
        <v>115</v>
      </c>
      <c r="AA22" s="1"/>
      <c r="AB22" s="1"/>
      <c r="AC22" s="1"/>
      <c r="AD22" s="1"/>
      <c r="AE22" s="1"/>
      <c r="AF22" s="1"/>
      <c r="AG22" s="1"/>
      <c r="AH22" s="1"/>
      <c r="AI22" s="1"/>
      <c r="AJ22" s="1" t="s">
        <v>88</v>
      </c>
      <c r="AK22" s="1"/>
      <c r="AL22" s="1" t="s">
        <v>79</v>
      </c>
      <c r="AM22" s="1"/>
      <c r="AN22" s="1"/>
      <c r="AO22" s="1"/>
      <c r="AP22" s="1"/>
      <c r="AQ22" s="1" t="s">
        <v>76</v>
      </c>
      <c r="AR22" s="1"/>
      <c r="AS22" s="1"/>
      <c r="AT22" s="1"/>
      <c r="AU22" s="1"/>
      <c r="AV22" s="1" t="s">
        <v>76</v>
      </c>
      <c r="AW22" s="1" t="s">
        <v>115</v>
      </c>
      <c r="AX22" s="1" t="s">
        <v>115</v>
      </c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</row>
    <row r="23" customFormat="false" ht="18" hidden="false" customHeight="false" outlineLevel="0" collapsed="false">
      <c r="A23" s="1" t="s">
        <v>111</v>
      </c>
      <c r="B23" s="1" t="s">
        <v>162</v>
      </c>
      <c r="C23" s="3" t="n">
        <v>32874</v>
      </c>
      <c r="D23" s="1" t="s">
        <v>163</v>
      </c>
      <c r="E23" s="1" t="s">
        <v>79</v>
      </c>
      <c r="F23" s="1" t="s">
        <v>164</v>
      </c>
      <c r="G23" s="1" t="s">
        <v>143</v>
      </c>
      <c r="H23" s="1" t="s">
        <v>78</v>
      </c>
      <c r="I23" s="1" t="s">
        <v>85</v>
      </c>
      <c r="J23" s="1" t="s">
        <v>144</v>
      </c>
      <c r="K23" s="1" t="s">
        <v>145</v>
      </c>
      <c r="L23" s="1" t="n">
        <v>50100000000</v>
      </c>
      <c r="M23" s="1" t="s">
        <v>79</v>
      </c>
      <c r="N23" s="1" t="s">
        <v>86</v>
      </c>
      <c r="O23" s="1" t="s">
        <v>165</v>
      </c>
      <c r="P23" s="2" t="b">
        <f aca="false">TRUE()</f>
        <v>1</v>
      </c>
      <c r="Q23" s="1"/>
      <c r="R23" s="2" t="b">
        <f aca="false">FALSE()</f>
        <v>0</v>
      </c>
      <c r="S23" s="1"/>
      <c r="T23" s="1" t="n">
        <v>0</v>
      </c>
      <c r="U23" s="1" t="n">
        <v>20000000</v>
      </c>
      <c r="V23" s="1" t="n">
        <v>23400000</v>
      </c>
      <c r="W23" s="1" t="n">
        <v>3020000</v>
      </c>
      <c r="X23" s="1" t="n">
        <v>740595.24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 t="s">
        <v>88</v>
      </c>
      <c r="AK23" s="1"/>
      <c r="AL23" s="1" t="s">
        <v>79</v>
      </c>
      <c r="AM23" s="1"/>
      <c r="AN23" s="1"/>
      <c r="AO23" s="1"/>
      <c r="AP23" s="1"/>
      <c r="AQ23" s="1" t="s">
        <v>76</v>
      </c>
      <c r="AR23" s="1"/>
      <c r="AS23" s="1"/>
      <c r="AT23" s="1"/>
      <c r="AU23" s="1"/>
      <c r="AV23" s="1" t="s">
        <v>76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 t="s">
        <v>85</v>
      </c>
      <c r="BV23" s="1" t="s">
        <v>166</v>
      </c>
    </row>
    <row r="24" customFormat="false" ht="18" hidden="false" customHeight="false" outlineLevel="0" collapsed="false">
      <c r="A24" s="1" t="s">
        <v>111</v>
      </c>
      <c r="B24" s="1" t="s">
        <v>167</v>
      </c>
      <c r="C24" s="3" t="n">
        <v>33239</v>
      </c>
      <c r="D24" s="1" t="s">
        <v>168</v>
      </c>
      <c r="E24" s="1" t="s">
        <v>79</v>
      </c>
      <c r="F24" s="1" t="s">
        <v>169</v>
      </c>
      <c r="G24" s="1" t="s">
        <v>143</v>
      </c>
      <c r="H24" s="1" t="s">
        <v>78</v>
      </c>
      <c r="I24" s="1" t="s">
        <v>170</v>
      </c>
      <c r="J24" s="1" t="s">
        <v>144</v>
      </c>
      <c r="K24" s="1" t="s">
        <v>145</v>
      </c>
      <c r="L24" s="1" t="n">
        <v>50100000001</v>
      </c>
      <c r="M24" s="1" t="s">
        <v>79</v>
      </c>
      <c r="N24" s="1" t="s">
        <v>171</v>
      </c>
      <c r="O24" s="1" t="s">
        <v>165</v>
      </c>
      <c r="P24" s="2" t="b">
        <f aca="false">FALSE()</f>
        <v>0</v>
      </c>
      <c r="Q24" s="1"/>
      <c r="R24" s="2" t="b">
        <f aca="false">FALSE()</f>
        <v>0</v>
      </c>
      <c r="S24" s="1"/>
      <c r="T24" s="1" t="n">
        <v>0</v>
      </c>
      <c r="U24" s="1" t="n">
        <v>40000000</v>
      </c>
      <c r="V24" s="1" t="n">
        <v>46800000</v>
      </c>
      <c r="W24" s="1" t="n">
        <v>14000000</v>
      </c>
      <c r="X24" s="1" t="n">
        <v>1306190.48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 t="s">
        <v>172</v>
      </c>
      <c r="BF24" s="1" t="s">
        <v>173</v>
      </c>
      <c r="BG24" s="1" t="s">
        <v>174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 t="s">
        <v>170</v>
      </c>
      <c r="BV24" s="1" t="s">
        <v>175</v>
      </c>
    </row>
    <row r="25" customFormat="false" ht="18" hidden="false" customHeight="false" outlineLevel="0" collapsed="false">
      <c r="A25" s="1" t="s">
        <v>111</v>
      </c>
      <c r="B25" s="1" t="s">
        <v>176</v>
      </c>
      <c r="C25" s="3" t="n">
        <v>33604</v>
      </c>
      <c r="D25" s="1" t="s">
        <v>177</v>
      </c>
      <c r="E25" s="1" t="s">
        <v>79</v>
      </c>
      <c r="F25" s="1" t="s">
        <v>178</v>
      </c>
      <c r="G25" s="1" t="s">
        <v>143</v>
      </c>
      <c r="H25" s="1" t="s">
        <v>78</v>
      </c>
      <c r="I25" s="1" t="s">
        <v>85</v>
      </c>
      <c r="J25" s="1" t="s">
        <v>144</v>
      </c>
      <c r="K25" s="1" t="s">
        <v>145</v>
      </c>
      <c r="L25" s="1" t="n">
        <v>50100000002</v>
      </c>
      <c r="M25" s="1" t="s">
        <v>79</v>
      </c>
      <c r="N25" s="1" t="s">
        <v>171</v>
      </c>
      <c r="O25" s="1" t="s">
        <v>165</v>
      </c>
      <c r="P25" s="2" t="b">
        <f aca="false">FALSE()</f>
        <v>0</v>
      </c>
      <c r="Q25" s="1"/>
      <c r="R25" s="2" t="b">
        <f aca="false">FALSE()</f>
        <v>0</v>
      </c>
      <c r="S25" s="1"/>
      <c r="T25" s="1" t="n">
        <v>0</v>
      </c>
      <c r="U25" s="1" t="n">
        <v>60000000</v>
      </c>
      <c r="V25" s="1" t="n">
        <v>70200000</v>
      </c>
      <c r="W25" s="1" t="n">
        <v>15300000</v>
      </c>
      <c r="X25" s="1" t="n">
        <v>1871785.71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 t="s">
        <v>85</v>
      </c>
      <c r="BV25" s="1" t="s">
        <v>166</v>
      </c>
    </row>
    <row r="26" customFormat="false" ht="18" hidden="false" customHeight="false" outlineLevel="0" collapsed="false">
      <c r="A26" s="1" t="s">
        <v>111</v>
      </c>
      <c r="B26" s="1" t="s">
        <v>179</v>
      </c>
      <c r="C26" s="3" t="n">
        <v>33970</v>
      </c>
      <c r="D26" s="1" t="s">
        <v>180</v>
      </c>
      <c r="E26" s="1" t="s">
        <v>79</v>
      </c>
      <c r="F26" s="1" t="s">
        <v>181</v>
      </c>
      <c r="G26" s="1" t="s">
        <v>143</v>
      </c>
      <c r="H26" s="1" t="s">
        <v>78</v>
      </c>
      <c r="I26" s="1" t="s">
        <v>85</v>
      </c>
      <c r="J26" s="1" t="s">
        <v>144</v>
      </c>
      <c r="K26" s="1" t="s">
        <v>145</v>
      </c>
      <c r="L26" s="1" t="n">
        <v>50100000003</v>
      </c>
      <c r="M26" s="1" t="s">
        <v>79</v>
      </c>
      <c r="N26" s="1" t="s">
        <v>86</v>
      </c>
      <c r="O26" s="1" t="s">
        <v>165</v>
      </c>
      <c r="P26" s="2" t="b">
        <f aca="false">FALSE()</f>
        <v>0</v>
      </c>
      <c r="Q26" s="1"/>
      <c r="R26" s="2" t="b">
        <f aca="false">FALSE()</f>
        <v>0</v>
      </c>
      <c r="S26" s="1"/>
      <c r="T26" s="1" t="n">
        <v>0</v>
      </c>
      <c r="U26" s="1" t="n">
        <v>100000000</v>
      </c>
      <c r="V26" s="1" t="n">
        <v>117000000</v>
      </c>
      <c r="W26" s="1" t="n">
        <v>26000000</v>
      </c>
      <c r="X26" s="1" t="n">
        <v>3002976.19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 t="s">
        <v>88</v>
      </c>
      <c r="AK26" s="1"/>
      <c r="AL26" s="1" t="s">
        <v>79</v>
      </c>
      <c r="AM26" s="1"/>
      <c r="AN26" s="1"/>
      <c r="AO26" s="1"/>
      <c r="AP26" s="1"/>
      <c r="AQ26" s="1" t="s">
        <v>76</v>
      </c>
      <c r="AR26" s="1"/>
      <c r="AS26" s="1"/>
      <c r="AT26" s="1"/>
      <c r="AU26" s="1"/>
      <c r="AV26" s="1" t="s">
        <v>76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 t="s">
        <v>182</v>
      </c>
      <c r="BV26" s="1" t="s">
        <v>183</v>
      </c>
    </row>
    <row r="27" customFormat="false" ht="18" hidden="false" customHeight="false" outlineLevel="0" collapsed="false">
      <c r="A27" s="1" t="s">
        <v>111</v>
      </c>
      <c r="B27" s="1" t="s">
        <v>184</v>
      </c>
      <c r="C27" s="3" t="n">
        <v>34335</v>
      </c>
      <c r="D27" s="1" t="s">
        <v>185</v>
      </c>
      <c r="E27" s="1" t="s">
        <v>79</v>
      </c>
      <c r="F27" s="1" t="s">
        <v>186</v>
      </c>
      <c r="G27" s="1" t="s">
        <v>143</v>
      </c>
      <c r="H27" s="1" t="s">
        <v>78</v>
      </c>
      <c r="I27" s="1" t="s">
        <v>170</v>
      </c>
      <c r="J27" s="1" t="s">
        <v>144</v>
      </c>
      <c r="K27" s="1" t="s">
        <v>145</v>
      </c>
      <c r="L27" s="1" t="n">
        <v>50100000004</v>
      </c>
      <c r="M27" s="1" t="s">
        <v>79</v>
      </c>
      <c r="N27" s="1" t="s">
        <v>171</v>
      </c>
      <c r="O27" s="1" t="s">
        <v>165</v>
      </c>
      <c r="P27" s="2" t="b">
        <f aca="false">FALSE()</f>
        <v>0</v>
      </c>
      <c r="Q27" s="1"/>
      <c r="R27" s="2" t="b">
        <f aca="false">FALSE()</f>
        <v>0</v>
      </c>
      <c r="S27" s="1"/>
      <c r="T27" s="1" t="n">
        <v>0</v>
      </c>
      <c r="U27" s="1" t="n">
        <v>200000000</v>
      </c>
      <c r="V27" s="1" t="n">
        <v>234000000</v>
      </c>
      <c r="W27" s="1" t="n">
        <v>52000000</v>
      </c>
      <c r="X27" s="1" t="n">
        <v>5830952.38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 t="s">
        <v>170</v>
      </c>
      <c r="BV27" s="1" t="s">
        <v>175</v>
      </c>
    </row>
    <row r="28" customFormat="false" ht="18" hidden="false" customHeight="false" outlineLevel="0" collapsed="false">
      <c r="A28" s="1" t="s">
        <v>73</v>
      </c>
      <c r="B28" s="1" t="s">
        <v>187</v>
      </c>
      <c r="C28" s="3" t="n">
        <v>34700</v>
      </c>
      <c r="D28" s="1" t="s">
        <v>188</v>
      </c>
      <c r="E28" s="1" t="s">
        <v>79</v>
      </c>
      <c r="F28" s="1" t="s">
        <v>189</v>
      </c>
      <c r="G28" s="1" t="s">
        <v>143</v>
      </c>
      <c r="H28" s="1" t="s">
        <v>78</v>
      </c>
      <c r="I28" s="1" t="s">
        <v>85</v>
      </c>
      <c r="J28" s="1" t="s">
        <v>144</v>
      </c>
      <c r="K28" s="1" t="s">
        <v>145</v>
      </c>
      <c r="L28" s="1" t="n">
        <v>50100000005</v>
      </c>
      <c r="M28" s="1" t="s">
        <v>79</v>
      </c>
      <c r="N28" s="1" t="s">
        <v>171</v>
      </c>
      <c r="O28" s="1" t="s">
        <v>165</v>
      </c>
      <c r="P28" s="2" t="b">
        <f aca="false">TRUE()</f>
        <v>1</v>
      </c>
      <c r="Q28" s="1"/>
      <c r="R28" s="2" t="b">
        <f aca="false">FALSE()</f>
        <v>0</v>
      </c>
      <c r="S28" s="1"/>
      <c r="T28" s="1" t="n">
        <v>0</v>
      </c>
      <c r="U28" s="1" t="n">
        <v>20000000</v>
      </c>
      <c r="V28" s="1" t="n">
        <v>23400000</v>
      </c>
      <c r="W28" s="1" t="n">
        <v>5110000</v>
      </c>
      <c r="X28" s="1" t="n">
        <v>740595.24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 t="s">
        <v>173</v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 t="s">
        <v>85</v>
      </c>
      <c r="BV28" s="1" t="s">
        <v>166</v>
      </c>
    </row>
    <row r="29" customFormat="false" ht="18" hidden="false" customHeight="false" outlineLevel="0" collapsed="false">
      <c r="A29" s="1" t="s">
        <v>73</v>
      </c>
      <c r="B29" s="1" t="s">
        <v>190</v>
      </c>
      <c r="C29" s="3" t="n">
        <v>35065</v>
      </c>
      <c r="D29" s="1" t="s">
        <v>191</v>
      </c>
      <c r="E29" s="1" t="s">
        <v>79</v>
      </c>
      <c r="F29" s="1" t="s">
        <v>192</v>
      </c>
      <c r="G29" s="1" t="s">
        <v>143</v>
      </c>
      <c r="H29" s="1" t="s">
        <v>78</v>
      </c>
      <c r="I29" s="1" t="s">
        <v>85</v>
      </c>
      <c r="J29" s="1" t="s">
        <v>144</v>
      </c>
      <c r="K29" s="1" t="s">
        <v>145</v>
      </c>
      <c r="L29" s="1" t="n">
        <v>50100000006</v>
      </c>
      <c r="M29" s="1" t="s">
        <v>79</v>
      </c>
      <c r="N29" s="1" t="s">
        <v>171</v>
      </c>
      <c r="O29" s="1" t="s">
        <v>165</v>
      </c>
      <c r="P29" s="2" t="b">
        <f aca="false">FALSE()</f>
        <v>0</v>
      </c>
      <c r="Q29" s="1"/>
      <c r="R29" s="2" t="b">
        <f aca="false">FALSE()</f>
        <v>0</v>
      </c>
      <c r="S29" s="1"/>
      <c r="T29" s="1" t="n">
        <v>0</v>
      </c>
      <c r="U29" s="1" t="n">
        <v>20000000</v>
      </c>
      <c r="V29" s="1" t="n">
        <v>23400000</v>
      </c>
      <c r="W29" s="1" t="n">
        <v>5200000</v>
      </c>
      <c r="X29" s="1" t="n">
        <v>740595.24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 t="s">
        <v>174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 t="s">
        <v>85</v>
      </c>
      <c r="BV29" s="1" t="s">
        <v>166</v>
      </c>
    </row>
    <row r="30" customFormat="false" ht="18" hidden="false" customHeight="false" outlineLevel="0" collapsed="false">
      <c r="A30" s="1" t="s">
        <v>73</v>
      </c>
      <c r="B30" s="1" t="s">
        <v>193</v>
      </c>
      <c r="C30" s="3" t="n">
        <v>35431</v>
      </c>
      <c r="D30" s="1" t="s">
        <v>194</v>
      </c>
      <c r="E30" s="1" t="s">
        <v>79</v>
      </c>
      <c r="F30" s="1" t="s">
        <v>195</v>
      </c>
      <c r="G30" s="1" t="s">
        <v>143</v>
      </c>
      <c r="H30" s="1" t="s">
        <v>78</v>
      </c>
      <c r="I30" s="1" t="s">
        <v>85</v>
      </c>
      <c r="J30" s="1" t="s">
        <v>144</v>
      </c>
      <c r="K30" s="1" t="s">
        <v>145</v>
      </c>
      <c r="L30" s="1" t="n">
        <v>50100000007</v>
      </c>
      <c r="M30" s="1" t="s">
        <v>79</v>
      </c>
      <c r="N30" s="1" t="s">
        <v>171</v>
      </c>
      <c r="O30" s="1" t="s">
        <v>165</v>
      </c>
      <c r="P30" s="2" t="b">
        <f aca="false">TRUE()</f>
        <v>1</v>
      </c>
      <c r="Q30" s="1"/>
      <c r="R30" s="2" t="b">
        <f aca="false">FALSE()</f>
        <v>0</v>
      </c>
      <c r="S30" s="1"/>
      <c r="T30" s="1" t="n">
        <v>0</v>
      </c>
      <c r="U30" s="1" t="n">
        <v>20000000</v>
      </c>
      <c r="V30" s="1" t="n">
        <v>23400000</v>
      </c>
      <c r="W30" s="1" t="n">
        <v>5200000</v>
      </c>
      <c r="X30" s="1" t="n">
        <v>740595.24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 t="s">
        <v>85</v>
      </c>
      <c r="BV30" s="1" t="s">
        <v>166</v>
      </c>
    </row>
    <row r="31" customFormat="false" ht="18" hidden="false" customHeight="false" outlineLevel="0" collapsed="false">
      <c r="A31" s="1" t="s">
        <v>73</v>
      </c>
      <c r="B31" s="1" t="s">
        <v>196</v>
      </c>
      <c r="C31" s="3" t="n">
        <v>35796</v>
      </c>
      <c r="D31" s="1" t="s">
        <v>197</v>
      </c>
      <c r="E31" s="1" t="s">
        <v>79</v>
      </c>
      <c r="F31" s="1" t="s">
        <v>198</v>
      </c>
      <c r="G31" s="1" t="s">
        <v>143</v>
      </c>
      <c r="H31" s="1" t="s">
        <v>78</v>
      </c>
      <c r="I31" s="1" t="s">
        <v>170</v>
      </c>
      <c r="J31" s="1" t="s">
        <v>144</v>
      </c>
      <c r="K31" s="1" t="s">
        <v>145</v>
      </c>
      <c r="L31" s="1" t="n">
        <v>50100000008</v>
      </c>
      <c r="M31" s="1" t="s">
        <v>79</v>
      </c>
      <c r="N31" s="1" t="s">
        <v>171</v>
      </c>
      <c r="O31" s="1" t="s">
        <v>165</v>
      </c>
      <c r="P31" s="2" t="b">
        <f aca="false">TRUE()</f>
        <v>1</v>
      </c>
      <c r="Q31" s="1"/>
      <c r="R31" s="2" t="b">
        <f aca="false">FALSE()</f>
        <v>0</v>
      </c>
      <c r="S31" s="1"/>
      <c r="T31" s="1" t="n">
        <v>0</v>
      </c>
      <c r="U31" s="1" t="n">
        <v>20000000</v>
      </c>
      <c r="V31" s="1" t="n">
        <v>23400000</v>
      </c>
      <c r="W31" s="1" t="n">
        <v>5200000</v>
      </c>
      <c r="X31" s="1" t="n">
        <v>740595.24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 t="s">
        <v>172</v>
      </c>
      <c r="BF31" s="1" t="s">
        <v>173</v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 t="s">
        <v>170</v>
      </c>
      <c r="BV31" s="1" t="s">
        <v>175</v>
      </c>
    </row>
    <row r="32" customFormat="false" ht="18" hidden="false" customHeight="false" outlineLevel="0" collapsed="false">
      <c r="A32" s="1" t="s">
        <v>73</v>
      </c>
      <c r="B32" s="1" t="s">
        <v>199</v>
      </c>
      <c r="C32" s="3" t="n">
        <v>36161</v>
      </c>
      <c r="D32" s="1" t="s">
        <v>200</v>
      </c>
      <c r="E32" s="1" t="s">
        <v>79</v>
      </c>
      <c r="F32" s="1" t="s">
        <v>201</v>
      </c>
      <c r="G32" s="1" t="s">
        <v>143</v>
      </c>
      <c r="H32" s="1" t="s">
        <v>78</v>
      </c>
      <c r="I32" s="1" t="s">
        <v>85</v>
      </c>
      <c r="J32" s="1" t="s">
        <v>144</v>
      </c>
      <c r="K32" s="1" t="s">
        <v>145</v>
      </c>
      <c r="L32" s="1" t="n">
        <v>50100000009</v>
      </c>
      <c r="M32" s="1" t="s">
        <v>79</v>
      </c>
      <c r="N32" s="1" t="s">
        <v>171</v>
      </c>
      <c r="O32" s="1" t="s">
        <v>165</v>
      </c>
      <c r="P32" s="2" t="b">
        <f aca="false">TRUE()</f>
        <v>1</v>
      </c>
      <c r="Q32" s="1"/>
      <c r="R32" s="2" t="b">
        <f aca="false">FALSE()</f>
        <v>0</v>
      </c>
      <c r="S32" s="1"/>
      <c r="T32" s="1" t="n">
        <v>0</v>
      </c>
      <c r="U32" s="1" t="n">
        <v>20000000</v>
      </c>
      <c r="V32" s="1" t="n">
        <v>23400000</v>
      </c>
      <c r="W32" s="1" t="n">
        <v>5200000</v>
      </c>
      <c r="X32" s="1" t="n">
        <v>740595.24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 t="s">
        <v>85</v>
      </c>
      <c r="BV32" s="1" t="s">
        <v>166</v>
      </c>
    </row>
    <row r="33" customFormat="false" ht="18" hidden="false" customHeight="false" outlineLevel="0" collapsed="false">
      <c r="A33" s="1" t="s">
        <v>111</v>
      </c>
      <c r="B33" s="1"/>
      <c r="C33" s="1"/>
      <c r="D33" s="1"/>
      <c r="E33" s="1" t="s">
        <v>79</v>
      </c>
      <c r="F33" s="1"/>
      <c r="G33" s="1"/>
      <c r="H33" s="1" t="s">
        <v>78</v>
      </c>
      <c r="I33" s="1" t="s">
        <v>85</v>
      </c>
      <c r="J33" s="1"/>
      <c r="K33" s="1"/>
      <c r="L33" s="1"/>
      <c r="M33" s="1" t="s">
        <v>79</v>
      </c>
      <c r="N33" s="1" t="s">
        <v>86</v>
      </c>
      <c r="O33" s="1"/>
      <c r="P33" s="2" t="b">
        <f aca="false">FALSE()</f>
        <v>0</v>
      </c>
      <c r="Q33" s="1"/>
      <c r="R33" s="2" t="b">
        <f aca="false">FALSE()</f>
        <v>0</v>
      </c>
      <c r="S33" s="1"/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 t="s">
        <v>88</v>
      </c>
      <c r="AK33" s="1"/>
      <c r="AL33" s="1" t="s">
        <v>79</v>
      </c>
      <c r="AM33" s="1"/>
      <c r="AN33" s="1"/>
      <c r="AO33" s="1"/>
      <c r="AP33" s="1"/>
      <c r="AQ33" s="1" t="s">
        <v>76</v>
      </c>
      <c r="AR33" s="1"/>
      <c r="AS33" s="1"/>
      <c r="AT33" s="1"/>
      <c r="AU33" s="1"/>
      <c r="AV33" s="1" t="s">
        <v>76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customFormat="false" ht="18" hidden="false" customHeight="false" outlineLevel="0" collapsed="false">
      <c r="A34" s="1" t="s">
        <v>111</v>
      </c>
      <c r="B34" s="1" t="s">
        <v>202</v>
      </c>
      <c r="C34" s="1"/>
      <c r="D34" s="1" t="s">
        <v>203</v>
      </c>
      <c r="E34" s="1" t="s">
        <v>79</v>
      </c>
      <c r="F34" s="1" t="s">
        <v>164</v>
      </c>
      <c r="G34" s="1"/>
      <c r="H34" s="1" t="s">
        <v>78</v>
      </c>
      <c r="I34" s="1" t="s">
        <v>85</v>
      </c>
      <c r="J34" s="1" t="s">
        <v>144</v>
      </c>
      <c r="K34" s="1" t="s">
        <v>145</v>
      </c>
      <c r="L34" s="1" t="n">
        <v>50100000000</v>
      </c>
      <c r="M34" s="1" t="s">
        <v>79</v>
      </c>
      <c r="N34" s="1" t="s">
        <v>171</v>
      </c>
      <c r="O34" s="1" t="s">
        <v>165</v>
      </c>
      <c r="P34" s="2" t="b">
        <f aca="false">FALSE()</f>
        <v>0</v>
      </c>
      <c r="Q34" s="1"/>
      <c r="R34" s="2" t="b">
        <f aca="false">FALSE()</f>
        <v>0</v>
      </c>
      <c r="S34" s="1" t="s">
        <v>204</v>
      </c>
      <c r="T34" s="1" t="n">
        <v>1000000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1</v>
      </c>
      <c r="Z34" s="1" t="s">
        <v>205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customFormat="false" ht="18" hidden="false" customHeight="false" outlineLevel="0" collapsed="false">
      <c r="A35" s="1" t="s">
        <v>111</v>
      </c>
      <c r="B35" s="1" t="s">
        <v>202</v>
      </c>
      <c r="C35" s="1"/>
      <c r="D35" s="1"/>
      <c r="E35" s="1" t="s">
        <v>79</v>
      </c>
      <c r="F35" s="1" t="s">
        <v>164</v>
      </c>
      <c r="G35" s="1"/>
      <c r="H35" s="1" t="s">
        <v>78</v>
      </c>
      <c r="I35" s="1" t="s">
        <v>85</v>
      </c>
      <c r="J35" s="1" t="s">
        <v>144</v>
      </c>
      <c r="K35" s="1" t="s">
        <v>145</v>
      </c>
      <c r="L35" s="1" t="n">
        <v>50100000000</v>
      </c>
      <c r="M35" s="1" t="s">
        <v>79</v>
      </c>
      <c r="N35" s="1" t="s">
        <v>171</v>
      </c>
      <c r="O35" s="1" t="s">
        <v>165</v>
      </c>
      <c r="P35" s="2" t="b">
        <f aca="false">FALSE()</f>
        <v>0</v>
      </c>
      <c r="Q35" s="1"/>
      <c r="R35" s="2" t="b">
        <f aca="false">FALSE()</f>
        <v>0</v>
      </c>
      <c r="S35" s="1" t="s">
        <v>204</v>
      </c>
      <c r="T35" s="1" t="n">
        <v>1000000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1</v>
      </c>
      <c r="Z35" s="1" t="s">
        <v>205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customFormat="false" ht="18" hidden="false" customHeight="false" outlineLevel="0" collapsed="false">
      <c r="A36" s="1" t="s">
        <v>111</v>
      </c>
      <c r="B36" s="1"/>
      <c r="C36" s="1"/>
      <c r="D36" s="1" t="s">
        <v>203</v>
      </c>
      <c r="E36" s="1" t="s">
        <v>79</v>
      </c>
      <c r="F36" s="1" t="s">
        <v>164</v>
      </c>
      <c r="G36" s="1"/>
      <c r="H36" s="1" t="s">
        <v>78</v>
      </c>
      <c r="I36" s="1" t="s">
        <v>85</v>
      </c>
      <c r="J36" s="1" t="s">
        <v>144</v>
      </c>
      <c r="K36" s="1" t="s">
        <v>145</v>
      </c>
      <c r="L36" s="1" t="n">
        <v>50100000000</v>
      </c>
      <c r="M36" s="1" t="s">
        <v>79</v>
      </c>
      <c r="N36" s="1" t="s">
        <v>171</v>
      </c>
      <c r="O36" s="1" t="s">
        <v>165</v>
      </c>
      <c r="P36" s="2" t="b">
        <f aca="false">FALSE()</f>
        <v>0</v>
      </c>
      <c r="Q36" s="1"/>
      <c r="R36" s="2" t="b">
        <f aca="false">FALSE()</f>
        <v>0</v>
      </c>
      <c r="S36" s="1" t="s">
        <v>204</v>
      </c>
      <c r="T36" s="1" t="n">
        <v>1000000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1</v>
      </c>
      <c r="Z36" s="1" t="s">
        <v>205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customFormat="false" ht="18" hidden="false" customHeight="false" outlineLevel="0" collapsed="false">
      <c r="A37" s="1" t="s">
        <v>73</v>
      </c>
      <c r="B37" s="1" t="s">
        <v>202</v>
      </c>
      <c r="C37" s="1"/>
      <c r="D37" s="1" t="s">
        <v>203</v>
      </c>
      <c r="E37" s="1" t="s">
        <v>79</v>
      </c>
      <c r="F37" s="1" t="s">
        <v>164</v>
      </c>
      <c r="G37" s="1"/>
      <c r="H37" s="1" t="s">
        <v>78</v>
      </c>
      <c r="I37" s="1" t="s">
        <v>85</v>
      </c>
      <c r="J37" s="1" t="s">
        <v>144</v>
      </c>
      <c r="K37" s="1" t="s">
        <v>145</v>
      </c>
      <c r="L37" s="1" t="n">
        <v>50100000000</v>
      </c>
      <c r="M37" s="1" t="s">
        <v>79</v>
      </c>
      <c r="N37" s="1" t="s">
        <v>171</v>
      </c>
      <c r="O37" s="1" t="s">
        <v>165</v>
      </c>
      <c r="P37" s="2" t="b">
        <f aca="false">TRUE()</f>
        <v>1</v>
      </c>
      <c r="Q37" s="1"/>
      <c r="R37" s="2" t="b">
        <f aca="false">FALSE()</f>
        <v>0</v>
      </c>
      <c r="S37" s="1" t="s">
        <v>204</v>
      </c>
      <c r="T37" s="1" t="n">
        <v>1000000</v>
      </c>
      <c r="U37" s="1" t="n">
        <v>274125000</v>
      </c>
      <c r="V37" s="1" t="n">
        <v>94970000</v>
      </c>
      <c r="W37" s="1" t="n">
        <v>89497500</v>
      </c>
      <c r="X37" s="1" t="n">
        <v>6558591.43</v>
      </c>
      <c r="Y37" s="1" t="n">
        <v>1</v>
      </c>
      <c r="Z37" s="1" t="s">
        <v>205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customFormat="false" ht="18" hidden="false" customHeight="false" outlineLevel="0" collapsed="false">
      <c r="A38" s="1" t="s">
        <v>111</v>
      </c>
      <c r="B38" s="1" t="s">
        <v>115</v>
      </c>
      <c r="C38" s="3" t="n">
        <v>36526</v>
      </c>
      <c r="D38" s="1" t="s">
        <v>115</v>
      </c>
      <c r="E38" s="1" t="s">
        <v>79</v>
      </c>
      <c r="F38" s="1" t="s">
        <v>115</v>
      </c>
      <c r="G38" s="1" t="s">
        <v>115</v>
      </c>
      <c r="H38" s="1" t="s">
        <v>78</v>
      </c>
      <c r="I38" s="1" t="s">
        <v>85</v>
      </c>
      <c r="J38" s="1" t="s">
        <v>115</v>
      </c>
      <c r="K38" s="1" t="s">
        <v>115</v>
      </c>
      <c r="L38" s="1" t="s">
        <v>115</v>
      </c>
      <c r="M38" s="1" t="s">
        <v>79</v>
      </c>
      <c r="N38" s="1" t="s">
        <v>86</v>
      </c>
      <c r="O38" s="1" t="s">
        <v>115</v>
      </c>
      <c r="P38" s="2" t="b">
        <f aca="false">FALSE()</f>
        <v>0</v>
      </c>
      <c r="Q38" s="1"/>
      <c r="R38" s="2" t="b">
        <f aca="false">FALSE()</f>
        <v>0</v>
      </c>
      <c r="S38" s="1"/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s">
        <v>115</v>
      </c>
      <c r="Z38" s="1" t="s">
        <v>115</v>
      </c>
      <c r="AA38" s="1"/>
      <c r="AB38" s="1"/>
      <c r="AC38" s="1"/>
      <c r="AD38" s="1"/>
      <c r="AE38" s="1"/>
      <c r="AF38" s="1"/>
      <c r="AG38" s="1"/>
      <c r="AH38" s="1"/>
      <c r="AI38" s="1"/>
      <c r="AJ38" s="1" t="s">
        <v>88</v>
      </c>
      <c r="AK38" s="1"/>
      <c r="AL38" s="1" t="s">
        <v>79</v>
      </c>
      <c r="AM38" s="1"/>
      <c r="AN38" s="1"/>
      <c r="AO38" s="1"/>
      <c r="AP38" s="1"/>
      <c r="AQ38" s="1" t="s">
        <v>76</v>
      </c>
      <c r="AR38" s="1"/>
      <c r="AS38" s="1"/>
      <c r="AT38" s="1"/>
      <c r="AU38" s="1"/>
      <c r="AV38" s="1" t="s">
        <v>76</v>
      </c>
      <c r="AW38" s="1" t="s">
        <v>115</v>
      </c>
      <c r="AX38" s="1" t="s">
        <v>115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customFormat="false" ht="18" hidden="false" customHeight="false" outlineLevel="0" collapsed="false">
      <c r="A39" s="1" t="s">
        <v>111</v>
      </c>
      <c r="B39" s="1" t="s">
        <v>206</v>
      </c>
      <c r="C39" s="3" t="n">
        <v>27478</v>
      </c>
      <c r="D39" s="1" t="s">
        <v>207</v>
      </c>
      <c r="E39" s="1" t="s">
        <v>79</v>
      </c>
      <c r="F39" s="1" t="s">
        <v>164</v>
      </c>
      <c r="G39" s="1"/>
      <c r="H39" s="1" t="s">
        <v>78</v>
      </c>
      <c r="I39" s="1" t="s">
        <v>85</v>
      </c>
      <c r="J39" s="1" t="s">
        <v>144</v>
      </c>
      <c r="K39" s="1" t="s">
        <v>145</v>
      </c>
      <c r="L39" s="1" t="n">
        <v>50100000000</v>
      </c>
      <c r="M39" s="1" t="s">
        <v>79</v>
      </c>
      <c r="N39" s="1" t="s">
        <v>171</v>
      </c>
      <c r="O39" s="1" t="s">
        <v>165</v>
      </c>
      <c r="P39" s="2" t="b">
        <f aca="false">TRUE()</f>
        <v>1</v>
      </c>
      <c r="Q39" s="1"/>
      <c r="R39" s="2" t="b">
        <f aca="false">FALSE()</f>
        <v>0</v>
      </c>
      <c r="S39" s="1" t="s">
        <v>204</v>
      </c>
      <c r="T39" s="1" t="n">
        <v>1000000</v>
      </c>
      <c r="U39" s="1" t="n">
        <v>0</v>
      </c>
      <c r="V39" s="1" t="n">
        <v>0</v>
      </c>
      <c r="W39" s="1" t="n">
        <v>0</v>
      </c>
      <c r="X39" s="1" t="n">
        <v>0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 t="n">
        <v>1</v>
      </c>
      <c r="BO39" s="1" t="s">
        <v>205</v>
      </c>
      <c r="BP39" s="1"/>
      <c r="BQ39" s="1"/>
      <c r="BR39" s="1"/>
      <c r="BS39" s="1"/>
      <c r="BT39" s="1"/>
      <c r="BU39" s="1"/>
      <c r="BV39" s="1"/>
    </row>
    <row r="40" customFormat="false" ht="18" hidden="false" customHeight="false" outlineLevel="0" collapsed="false">
      <c r="A40" s="1" t="s">
        <v>111</v>
      </c>
      <c r="B40" s="1" t="s">
        <v>208</v>
      </c>
      <c r="C40" s="3" t="n">
        <v>27478</v>
      </c>
      <c r="D40" s="1" t="s">
        <v>209</v>
      </c>
      <c r="E40" s="1" t="s">
        <v>79</v>
      </c>
      <c r="F40" s="1" t="s">
        <v>164</v>
      </c>
      <c r="G40" s="1"/>
      <c r="H40" s="1" t="s">
        <v>78</v>
      </c>
      <c r="I40" s="1" t="s">
        <v>85</v>
      </c>
      <c r="J40" s="1" t="s">
        <v>144</v>
      </c>
      <c r="K40" s="1" t="s">
        <v>145</v>
      </c>
      <c r="L40" s="1" t="n">
        <v>50100000000</v>
      </c>
      <c r="M40" s="1" t="s">
        <v>79</v>
      </c>
      <c r="N40" s="1" t="s">
        <v>171</v>
      </c>
      <c r="O40" s="1" t="s">
        <v>165</v>
      </c>
      <c r="P40" s="2" t="b">
        <f aca="false">FALSE()</f>
        <v>0</v>
      </c>
      <c r="Q40" s="1"/>
      <c r="R40" s="2" t="b">
        <f aca="false">FALSE()</f>
        <v>0</v>
      </c>
      <c r="S40" s="1" t="s">
        <v>204</v>
      </c>
      <c r="T40" s="1" t="n">
        <v>1000000</v>
      </c>
      <c r="U40" s="1" t="n">
        <v>0</v>
      </c>
      <c r="V40" s="1" t="n">
        <v>0</v>
      </c>
      <c r="W40" s="1" t="n">
        <v>0</v>
      </c>
      <c r="X40" s="1" t="n">
        <v>0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 t="n">
        <v>1</v>
      </c>
      <c r="BO40" s="1" t="s">
        <v>205</v>
      </c>
      <c r="BP40" s="1"/>
      <c r="BQ40" s="1"/>
      <c r="BR40" s="1"/>
      <c r="BS40" s="1"/>
      <c r="BT40" s="1"/>
      <c r="BU40" s="1"/>
      <c r="BV40" s="1"/>
    </row>
    <row r="41" customFormat="false" ht="18" hidden="false" customHeight="false" outlineLevel="0" collapsed="false">
      <c r="A41" s="1" t="s">
        <v>111</v>
      </c>
      <c r="B41" s="1" t="s">
        <v>210</v>
      </c>
      <c r="C41" s="3" t="n">
        <v>27478</v>
      </c>
      <c r="D41" s="1" t="s">
        <v>211</v>
      </c>
      <c r="E41" s="1" t="s">
        <v>79</v>
      </c>
      <c r="F41" s="1" t="s">
        <v>164</v>
      </c>
      <c r="G41" s="1"/>
      <c r="H41" s="1" t="s">
        <v>78</v>
      </c>
      <c r="I41" s="1" t="s">
        <v>85</v>
      </c>
      <c r="J41" s="1" t="s">
        <v>144</v>
      </c>
      <c r="K41" s="1" t="s">
        <v>145</v>
      </c>
      <c r="L41" s="1" t="n">
        <v>50100000000</v>
      </c>
      <c r="M41" s="1" t="s">
        <v>79</v>
      </c>
      <c r="N41" s="1" t="s">
        <v>171</v>
      </c>
      <c r="O41" s="1" t="s">
        <v>165</v>
      </c>
      <c r="P41" s="2" t="b">
        <f aca="false">FALSE()</f>
        <v>0</v>
      </c>
      <c r="Q41" s="1"/>
      <c r="R41" s="2" t="b">
        <f aca="false">FALSE()</f>
        <v>0</v>
      </c>
      <c r="S41" s="1" t="s">
        <v>204</v>
      </c>
      <c r="T41" s="1" t="n">
        <v>1000000</v>
      </c>
      <c r="U41" s="1" t="n">
        <v>0</v>
      </c>
      <c r="V41" s="1" t="n">
        <v>0</v>
      </c>
      <c r="W41" s="1" t="n">
        <v>0</v>
      </c>
      <c r="X41" s="1" t="n">
        <v>0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 t="n">
        <v>1</v>
      </c>
      <c r="BO41" s="1" t="s">
        <v>205</v>
      </c>
      <c r="BP41" s="1"/>
      <c r="BQ41" s="1"/>
      <c r="BR41" s="1"/>
      <c r="BS41" s="1"/>
      <c r="BT41" s="1"/>
      <c r="BU41" s="1"/>
      <c r="BV41" s="1"/>
    </row>
    <row r="42" customFormat="false" ht="18" hidden="false" customHeight="false" outlineLevel="0" collapsed="false">
      <c r="A42" s="1" t="s">
        <v>111</v>
      </c>
      <c r="B42" s="1" t="s">
        <v>152</v>
      </c>
      <c r="C42" s="3" t="n">
        <v>36526</v>
      </c>
      <c r="D42" s="1" t="s">
        <v>150</v>
      </c>
      <c r="E42" s="1" t="s">
        <v>79</v>
      </c>
      <c r="F42" s="1"/>
      <c r="G42" s="1"/>
      <c r="H42" s="1" t="s">
        <v>78</v>
      </c>
      <c r="I42" s="1" t="s">
        <v>85</v>
      </c>
      <c r="J42" s="1"/>
      <c r="K42" s="1"/>
      <c r="L42" s="1"/>
      <c r="M42" s="1" t="s">
        <v>79</v>
      </c>
      <c r="N42" s="1" t="s">
        <v>86</v>
      </c>
      <c r="O42" s="1"/>
      <c r="P42" s="2" t="b">
        <f aca="false">FALSE()</f>
        <v>0</v>
      </c>
      <c r="Q42" s="1"/>
      <c r="R42" s="2" t="b">
        <f aca="false">FALSE()</f>
        <v>0</v>
      </c>
      <c r="S42" s="1"/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 t="s">
        <v>88</v>
      </c>
      <c r="AK42" s="1"/>
      <c r="AL42" s="1" t="s">
        <v>79</v>
      </c>
      <c r="AM42" s="1"/>
      <c r="AN42" s="1"/>
      <c r="AO42" s="1"/>
      <c r="AP42" s="1"/>
      <c r="AQ42" s="1" t="s">
        <v>76</v>
      </c>
      <c r="AR42" s="1"/>
      <c r="AS42" s="1"/>
      <c r="AT42" s="1"/>
      <c r="AU42" s="1"/>
      <c r="AV42" s="1" t="s">
        <v>79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 t="s">
        <v>85</v>
      </c>
      <c r="BV42" s="1" t="s">
        <v>212</v>
      </c>
    </row>
    <row r="43" customFormat="false" ht="18" hidden="false" customHeight="false" outlineLevel="0" collapsed="false">
      <c r="A43" s="1" t="s">
        <v>111</v>
      </c>
      <c r="B43" s="1" t="s">
        <v>213</v>
      </c>
      <c r="C43" s="3" t="n">
        <v>35342</v>
      </c>
      <c r="D43" s="1" t="s">
        <v>214</v>
      </c>
      <c r="E43" s="1" t="s">
        <v>76</v>
      </c>
      <c r="F43" s="1" t="s">
        <v>215</v>
      </c>
      <c r="G43" s="1" t="s">
        <v>215</v>
      </c>
      <c r="H43" s="1" t="s">
        <v>78</v>
      </c>
      <c r="I43" s="1" t="s">
        <v>85</v>
      </c>
      <c r="J43" s="1" t="s">
        <v>216</v>
      </c>
      <c r="K43" s="1" t="s">
        <v>217</v>
      </c>
      <c r="L43" s="1" t="n">
        <v>1811682621</v>
      </c>
      <c r="M43" s="1" t="s">
        <v>79</v>
      </c>
      <c r="N43" s="1" t="s">
        <v>86</v>
      </c>
      <c r="O43" s="1" t="s">
        <v>218</v>
      </c>
      <c r="P43" s="2" t="b">
        <f aca="false">FALSE()</f>
        <v>0</v>
      </c>
      <c r="Q43" s="1"/>
      <c r="R43" s="2" t="b">
        <f aca="false">FALSE()</f>
        <v>0</v>
      </c>
      <c r="S43" s="1"/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 t="s">
        <v>88</v>
      </c>
      <c r="AK43" s="1"/>
      <c r="AL43" s="1" t="s">
        <v>79</v>
      </c>
      <c r="AM43" s="1"/>
      <c r="AN43" s="1"/>
      <c r="AO43" s="1"/>
      <c r="AP43" s="1"/>
      <c r="AQ43" s="1" t="s">
        <v>76</v>
      </c>
      <c r="AR43" s="1"/>
      <c r="AS43" s="1"/>
      <c r="AT43" s="1"/>
      <c r="AU43" s="1"/>
      <c r="AV43" s="1" t="s">
        <v>76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customFormat="false" ht="18" hidden="false" customHeight="false" outlineLevel="0" collapsed="false">
      <c r="A44" s="1" t="s">
        <v>111</v>
      </c>
      <c r="B44" s="1" t="s">
        <v>219</v>
      </c>
      <c r="C44" s="3" t="n">
        <v>36526</v>
      </c>
      <c r="D44" s="1"/>
      <c r="E44" s="1" t="s">
        <v>79</v>
      </c>
      <c r="F44" s="1"/>
      <c r="G44" s="1"/>
      <c r="H44" s="1" t="s">
        <v>78</v>
      </c>
      <c r="I44" s="1" t="s">
        <v>85</v>
      </c>
      <c r="J44" s="1"/>
      <c r="K44" s="1"/>
      <c r="L44" s="1"/>
      <c r="M44" s="1" t="s">
        <v>79</v>
      </c>
      <c r="N44" s="1" t="s">
        <v>86</v>
      </c>
      <c r="O44" s="1"/>
      <c r="P44" s="2" t="b">
        <f aca="false">FALSE()</f>
        <v>0</v>
      </c>
      <c r="Q44" s="1"/>
      <c r="R44" s="2" t="b">
        <f aca="false">FALSE()</f>
        <v>0</v>
      </c>
      <c r="S44" s="1"/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 t="s">
        <v>88</v>
      </c>
      <c r="AK44" s="1"/>
      <c r="AL44" s="1" t="s">
        <v>79</v>
      </c>
      <c r="AM44" s="1"/>
      <c r="AN44" s="1"/>
      <c r="AO44" s="1"/>
      <c r="AP44" s="1"/>
      <c r="AQ44" s="1" t="s">
        <v>76</v>
      </c>
      <c r="AR44" s="1"/>
      <c r="AS44" s="1"/>
      <c r="AT44" s="1"/>
      <c r="AU44" s="1"/>
      <c r="AV44" s="1" t="s">
        <v>76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customFormat="false" ht="18" hidden="false" customHeight="false" outlineLevel="0" collapsed="false">
      <c r="A45" s="1" t="s">
        <v>111</v>
      </c>
      <c r="B45" s="1" t="s">
        <v>220</v>
      </c>
      <c r="C45" s="3" t="n">
        <v>36526</v>
      </c>
      <c r="D45" s="1" t="s">
        <v>214</v>
      </c>
      <c r="E45" s="1" t="s">
        <v>79</v>
      </c>
      <c r="F45" s="1"/>
      <c r="G45" s="1"/>
      <c r="H45" s="1" t="s">
        <v>78</v>
      </c>
      <c r="I45" s="1" t="s">
        <v>85</v>
      </c>
      <c r="J45" s="1"/>
      <c r="K45" s="1"/>
      <c r="L45" s="1"/>
      <c r="M45" s="1" t="s">
        <v>79</v>
      </c>
      <c r="N45" s="1" t="s">
        <v>86</v>
      </c>
      <c r="O45" s="1"/>
      <c r="P45" s="2" t="b">
        <f aca="false">FALSE()</f>
        <v>0</v>
      </c>
      <c r="Q45" s="1"/>
      <c r="R45" s="2" t="b">
        <f aca="false">FALSE()</f>
        <v>0</v>
      </c>
      <c r="S45" s="1"/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 t="s">
        <v>88</v>
      </c>
      <c r="AK45" s="1"/>
      <c r="AL45" s="1" t="s">
        <v>79</v>
      </c>
      <c r="AM45" s="1"/>
      <c r="AN45" s="1"/>
      <c r="AO45" s="1"/>
      <c r="AP45" s="1"/>
      <c r="AQ45" s="1" t="s">
        <v>76</v>
      </c>
      <c r="AR45" s="1"/>
      <c r="AS45" s="1"/>
      <c r="AT45" s="1"/>
      <c r="AU45" s="1"/>
      <c r="AV45" s="1" t="s">
        <v>76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customFormat="false" ht="18" hidden="false" customHeight="false" outlineLevel="0" collapsed="false">
      <c r="A46" s="1" t="s">
        <v>111</v>
      </c>
      <c r="B46" s="1" t="s">
        <v>221</v>
      </c>
      <c r="C46" s="3" t="n">
        <v>35603</v>
      </c>
      <c r="D46" s="1" t="s">
        <v>214</v>
      </c>
      <c r="E46" s="1" t="s">
        <v>79</v>
      </c>
      <c r="F46" s="1"/>
      <c r="G46" s="1"/>
      <c r="H46" s="1" t="s">
        <v>78</v>
      </c>
      <c r="I46" s="1" t="s">
        <v>85</v>
      </c>
      <c r="J46" s="1"/>
      <c r="K46" s="1"/>
      <c r="L46" s="1"/>
      <c r="M46" s="1" t="s">
        <v>79</v>
      </c>
      <c r="N46" s="1" t="s">
        <v>86</v>
      </c>
      <c r="O46" s="1"/>
      <c r="P46" s="2" t="b">
        <f aca="false">TRUE()</f>
        <v>1</v>
      </c>
      <c r="Q46" s="1"/>
      <c r="R46" s="2" t="b">
        <f aca="false">FALSE()</f>
        <v>0</v>
      </c>
      <c r="S46" s="1"/>
      <c r="T46" s="1" t="n">
        <v>0</v>
      </c>
      <c r="U46" s="1" t="n">
        <v>40000000</v>
      </c>
      <c r="V46" s="1" t="n">
        <v>3000000</v>
      </c>
      <c r="W46" s="1" t="n">
        <v>1000000</v>
      </c>
      <c r="X46" s="1" t="n">
        <v>14400000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 t="s">
        <v>88</v>
      </c>
      <c r="AK46" s="1"/>
      <c r="AL46" s="1" t="s">
        <v>79</v>
      </c>
      <c r="AM46" s="1"/>
      <c r="AN46" s="1"/>
      <c r="AO46" s="1"/>
      <c r="AP46" s="1"/>
      <c r="AQ46" s="1" t="s">
        <v>76</v>
      </c>
      <c r="AR46" s="1"/>
      <c r="AS46" s="1"/>
      <c r="AT46" s="1"/>
      <c r="AU46" s="1"/>
      <c r="AV46" s="1" t="s">
        <v>76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 t="s">
        <v>122</v>
      </c>
      <c r="BV46" s="1" t="s">
        <v>166</v>
      </c>
    </row>
    <row r="47" customFormat="false" ht="18" hidden="false" customHeight="false" outlineLevel="0" collapsed="false">
      <c r="A47" s="1" t="s">
        <v>111</v>
      </c>
      <c r="B47" s="1" t="s">
        <v>222</v>
      </c>
      <c r="C47" s="1"/>
      <c r="D47" s="1"/>
      <c r="E47" s="1" t="s">
        <v>79</v>
      </c>
      <c r="F47" s="1"/>
      <c r="G47" s="1"/>
      <c r="H47" s="1" t="s">
        <v>78</v>
      </c>
      <c r="I47" s="1" t="s">
        <v>85</v>
      </c>
      <c r="J47" s="1"/>
      <c r="K47" s="1"/>
      <c r="L47" s="1"/>
      <c r="M47" s="1" t="s">
        <v>79</v>
      </c>
      <c r="N47" s="1" t="s">
        <v>86</v>
      </c>
      <c r="O47" s="1"/>
      <c r="P47" s="2" t="b">
        <f aca="false">TRUE()</f>
        <v>1</v>
      </c>
      <c r="Q47" s="1"/>
      <c r="R47" s="2" t="b">
        <f aca="false">FALSE()</f>
        <v>0</v>
      </c>
      <c r="S47" s="1"/>
      <c r="T47" s="1" t="n">
        <v>2500000</v>
      </c>
      <c r="U47" s="1" t="n">
        <v>413000000</v>
      </c>
      <c r="V47" s="1" t="n">
        <v>26500000</v>
      </c>
      <c r="W47" s="1" t="n">
        <v>26500000</v>
      </c>
      <c r="X47" s="1" t="n">
        <v>6900000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 t="s">
        <v>88</v>
      </c>
      <c r="AK47" s="1"/>
      <c r="AL47" s="1" t="s">
        <v>79</v>
      </c>
      <c r="AM47" s="1"/>
      <c r="AN47" s="1"/>
      <c r="AO47" s="1"/>
      <c r="AP47" s="1"/>
      <c r="AQ47" s="1" t="s">
        <v>76</v>
      </c>
      <c r="AR47" s="1"/>
      <c r="AS47" s="1"/>
      <c r="AT47" s="1"/>
      <c r="AU47" s="1"/>
      <c r="AV47" s="1" t="s">
        <v>76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</row>
    <row r="48" customFormat="false" ht="18" hidden="false" customHeight="false" outlineLevel="0" collapsed="false">
      <c r="A48" s="1" t="s">
        <v>111</v>
      </c>
      <c r="B48" s="1" t="s">
        <v>223</v>
      </c>
      <c r="C48" s="1"/>
      <c r="D48" s="1"/>
      <c r="E48" s="1" t="s">
        <v>79</v>
      </c>
      <c r="F48" s="1"/>
      <c r="G48" s="1"/>
      <c r="H48" s="1" t="s">
        <v>78</v>
      </c>
      <c r="I48" s="1" t="s">
        <v>85</v>
      </c>
      <c r="J48" s="1"/>
      <c r="K48" s="1"/>
      <c r="L48" s="1"/>
      <c r="M48" s="1" t="s">
        <v>79</v>
      </c>
      <c r="N48" s="1" t="s">
        <v>86</v>
      </c>
      <c r="O48" s="1"/>
      <c r="P48" s="2" t="b">
        <f aca="false">FALSE()</f>
        <v>0</v>
      </c>
      <c r="Q48" s="1"/>
      <c r="R48" s="2" t="b">
        <f aca="false">FALSE()</f>
        <v>0</v>
      </c>
      <c r="S48" s="1"/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 t="s">
        <v>88</v>
      </c>
      <c r="AK48" s="1"/>
      <c r="AL48" s="1" t="s">
        <v>79</v>
      </c>
      <c r="AM48" s="1"/>
      <c r="AN48" s="1"/>
      <c r="AO48" s="1"/>
      <c r="AP48" s="1"/>
      <c r="AQ48" s="1" t="s">
        <v>76</v>
      </c>
      <c r="AR48" s="1"/>
      <c r="AS48" s="1"/>
      <c r="AT48" s="1"/>
      <c r="AU48" s="1"/>
      <c r="AV48" s="1" t="s">
        <v>76</v>
      </c>
      <c r="AW48" s="1" t="n">
        <v>123</v>
      </c>
      <c r="AX48" s="1" t="n">
        <v>123</v>
      </c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 t="s">
        <v>89</v>
      </c>
      <c r="BV48" s="1" t="s">
        <v>90</v>
      </c>
    </row>
    <row r="49" customFormat="false" ht="18" hidden="false" customHeight="false" outlineLevel="0" collapsed="false">
      <c r="A49" s="1" t="s">
        <v>111</v>
      </c>
      <c r="B49" s="1"/>
      <c r="C49" s="1"/>
      <c r="D49" s="1"/>
      <c r="E49" s="1" t="s">
        <v>79</v>
      </c>
      <c r="F49" s="1"/>
      <c r="G49" s="1"/>
      <c r="H49" s="1" t="s">
        <v>78</v>
      </c>
      <c r="I49" s="1" t="s">
        <v>85</v>
      </c>
      <c r="J49" s="1"/>
      <c r="K49" s="1"/>
      <c r="L49" s="1"/>
      <c r="M49" s="1" t="s">
        <v>79</v>
      </c>
      <c r="N49" s="1" t="s">
        <v>86</v>
      </c>
      <c r="O49" s="1"/>
      <c r="P49" s="2" t="b">
        <f aca="false">FALSE()</f>
        <v>0</v>
      </c>
      <c r="Q49" s="1"/>
      <c r="R49" s="2" t="b">
        <f aca="false">FALSE()</f>
        <v>0</v>
      </c>
      <c r="S49" s="1"/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 t="s">
        <v>88</v>
      </c>
      <c r="AK49" s="1"/>
      <c r="AL49" s="1" t="s">
        <v>79</v>
      </c>
      <c r="AM49" s="1"/>
      <c r="AN49" s="1"/>
      <c r="AO49" s="1"/>
      <c r="AP49" s="1"/>
      <c r="AQ49" s="1" t="s">
        <v>76</v>
      </c>
      <c r="AR49" s="1"/>
      <c r="AS49" s="1"/>
      <c r="AT49" s="1"/>
      <c r="AU49" s="1"/>
      <c r="AV49" s="1" t="s">
        <v>76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 t="s">
        <v>89</v>
      </c>
      <c r="BV49" s="1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7265625" defaultRowHeight="18" zeroHeight="false" outlineLevelRow="0" outlineLevelCol="0"/>
  <cols>
    <col collapsed="false" customWidth="true" hidden="false" outlineLevel="0" max="1" min="1" style="0" width="13.3"/>
    <col collapsed="false" customWidth="true" hidden="false" outlineLevel="0" max="2" min="2" style="0" width="29.02"/>
    <col collapsed="false" customWidth="true" hidden="false" outlineLevel="0" max="3" min="3" style="0" width="33.86"/>
    <col collapsed="false" customWidth="true" hidden="false" outlineLevel="0" max="4" min="4" style="0" width="15.72"/>
    <col collapsed="false" customWidth="true" hidden="false" outlineLevel="0" max="5" min="5" style="0" width="18.14"/>
    <col collapsed="false" customWidth="true" hidden="false" outlineLevel="0" max="6" min="6" style="0" width="31.43"/>
    <col collapsed="false" customWidth="true" hidden="false" outlineLevel="0" max="7" min="7" style="0" width="37.48"/>
    <col collapsed="false" customWidth="true" hidden="false" outlineLevel="0" max="8" min="8" style="0" width="20.55"/>
    <col collapsed="false" customWidth="true" hidden="false" outlineLevel="0" max="10" min="9" style="0" width="14.51"/>
    <col collapsed="false" customWidth="true" hidden="false" outlineLevel="0" max="11" min="11" style="0" width="16.93"/>
    <col collapsed="false" customWidth="true" hidden="false" outlineLevel="0" max="12" min="12" style="0" width="27.81"/>
    <col collapsed="false" customWidth="true" hidden="false" outlineLevel="0" max="13" min="13" style="0" width="19.34"/>
    <col collapsed="false" customWidth="true" hidden="false" outlineLevel="0" max="14" min="14" style="0" width="21.77"/>
    <col collapsed="false" customWidth="true" hidden="false" outlineLevel="0" max="15" min="15" style="0" width="15.72"/>
    <col collapsed="false" customWidth="true" hidden="false" outlineLevel="0" max="16" min="16" style="0" width="13.3"/>
    <col collapsed="false" customWidth="true" hidden="false" outlineLevel="0" max="17" min="17" style="0" width="16.93"/>
    <col collapsed="false" customWidth="true" hidden="false" outlineLevel="0" max="18" min="18" style="0" width="12.09"/>
    <col collapsed="false" customWidth="true" hidden="false" outlineLevel="0" max="19" min="19" style="0" width="53.2"/>
    <col collapsed="false" customWidth="true" hidden="false" outlineLevel="0" max="20" min="20" style="0" width="35.06"/>
    <col collapsed="false" customWidth="true" hidden="false" outlineLevel="0" max="21" min="21" style="0" width="22.97"/>
    <col collapsed="false" customWidth="true" hidden="false" outlineLevel="0" max="22" min="22" style="0" width="19.34"/>
    <col collapsed="false" customWidth="true" hidden="false" outlineLevel="0" max="23" min="23" style="0" width="22.97"/>
    <col collapsed="false" customWidth="true" hidden="false" outlineLevel="0" max="24" min="24" style="0" width="25.39"/>
    <col collapsed="false" customWidth="true" hidden="false" outlineLevel="0" max="25" min="25" style="0" width="26.59"/>
    <col collapsed="false" customWidth="true" hidden="false" outlineLevel="0" max="26" min="26" style="0" width="30.23"/>
    <col collapsed="false" customWidth="true" hidden="false" outlineLevel="0" max="27" min="27" style="0" width="16.93"/>
    <col collapsed="false" customWidth="true" hidden="false" outlineLevel="0" max="28" min="28" style="0" width="8.46"/>
    <col collapsed="false" customWidth="true" hidden="false" outlineLevel="0" max="29" min="29" style="0" width="7.25"/>
    <col collapsed="false" customWidth="true" hidden="false" outlineLevel="0" max="30" min="30" style="0" width="9.67"/>
    <col collapsed="false" customWidth="true" hidden="false" outlineLevel="0" max="31" min="31" style="0" width="16.93"/>
    <col collapsed="false" customWidth="true" hidden="false" outlineLevel="0" max="34" min="32" style="0" width="43.52"/>
    <col collapsed="false" customWidth="true" hidden="false" outlineLevel="0" max="37" min="35" style="0" width="45.95"/>
    <col collapsed="false" customWidth="true" hidden="false" outlineLevel="0" max="40" min="38" style="0" width="44.73"/>
    <col collapsed="false" customWidth="true" hidden="false" outlineLevel="0" max="41" min="41" style="0" width="19.34"/>
    <col collapsed="false" customWidth="true" hidden="false" outlineLevel="0" max="42" min="42" style="0" width="8.46"/>
    <col collapsed="false" customWidth="true" hidden="false" outlineLevel="0" max="43" min="43" style="0" width="7.25"/>
    <col collapsed="false" customWidth="true" hidden="false" outlineLevel="0" max="44" min="44" style="0" width="149.92"/>
    <col collapsed="false" customWidth="true" hidden="false" outlineLevel="0" max="45" min="45" style="0" width="24.18"/>
    <col collapsed="false" customWidth="true" hidden="false" outlineLevel="0" max="46" min="46" style="0" width="29.02"/>
  </cols>
  <sheetData>
    <row r="1" customFormat="false" ht="18" hidden="false" customHeight="false" outlineLevel="0" collapsed="false">
      <c r="A1" s="1" t="s">
        <v>224</v>
      </c>
      <c r="B1" s="1" t="s">
        <v>1</v>
      </c>
      <c r="C1" s="1" t="s">
        <v>2</v>
      </c>
      <c r="D1" s="1" t="s">
        <v>225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226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227</v>
      </c>
      <c r="Z1" s="1" t="s">
        <v>228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29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46</v>
      </c>
      <c r="AP1" s="1" t="s">
        <v>47</v>
      </c>
      <c r="AQ1" s="1" t="s">
        <v>49</v>
      </c>
      <c r="AR1" s="1" t="s">
        <v>238</v>
      </c>
      <c r="AS1" s="1" t="s">
        <v>71</v>
      </c>
      <c r="AT1" s="1" t="s">
        <v>72</v>
      </c>
    </row>
    <row r="2" customFormat="false" ht="18" hidden="false" customHeight="false" outlineLevel="0" collapsed="false">
      <c r="A2" s="1" t="s">
        <v>111</v>
      </c>
      <c r="B2" s="1" t="s">
        <v>239</v>
      </c>
      <c r="C2" s="3" t="n">
        <v>36526</v>
      </c>
      <c r="D2" s="1" t="s">
        <v>138</v>
      </c>
      <c r="E2" s="1" t="s">
        <v>79</v>
      </c>
      <c r="F2" s="1" t="s">
        <v>240</v>
      </c>
      <c r="G2" s="1" t="s">
        <v>241</v>
      </c>
      <c r="H2" s="1" t="s">
        <v>242</v>
      </c>
      <c r="I2" s="1" t="s">
        <v>85</v>
      </c>
      <c r="J2" s="1"/>
      <c r="K2" s="1"/>
      <c r="L2" s="1" t="n">
        <v>3.72468374692365E+020</v>
      </c>
      <c r="M2" s="1" t="s">
        <v>79</v>
      </c>
      <c r="N2" s="1" t="s">
        <v>86</v>
      </c>
      <c r="O2" s="1" t="s">
        <v>243</v>
      </c>
      <c r="P2" s="2" t="b">
        <f aca="false">TRUE()</f>
        <v>1</v>
      </c>
      <c r="Q2" s="1"/>
      <c r="R2" s="2" t="b">
        <f aca="false">FALSE()</f>
        <v>0</v>
      </c>
      <c r="S2" s="1"/>
      <c r="T2" s="1" t="n">
        <v>100000000</v>
      </c>
      <c r="U2" s="1" t="n">
        <v>92000000</v>
      </c>
      <c r="V2" s="1" t="n">
        <v>590240000</v>
      </c>
      <c r="W2" s="1" t="n">
        <v>700000</v>
      </c>
      <c r="X2" s="1" t="n">
        <v>75000</v>
      </c>
      <c r="Y2" s="1" t="n">
        <v>10</v>
      </c>
      <c r="Z2" s="1" t="s">
        <v>244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/>
      <c r="AG2" s="1"/>
      <c r="AH2" s="1"/>
      <c r="AI2" s="1"/>
      <c r="AJ2" s="1"/>
      <c r="AK2" s="1"/>
      <c r="AL2" s="1"/>
      <c r="AM2" s="1"/>
      <c r="AN2" s="1"/>
      <c r="AO2" s="1" t="s">
        <v>76</v>
      </c>
      <c r="AP2" s="1"/>
      <c r="AQ2" s="1"/>
      <c r="AR2" s="1"/>
      <c r="AS2" s="1" t="s">
        <v>89</v>
      </c>
      <c r="AT2" s="1" t="s">
        <v>90</v>
      </c>
    </row>
    <row r="3" customFormat="false" ht="18" hidden="false" customHeight="false" outlineLevel="0" collapsed="false">
      <c r="A3" s="1" t="s">
        <v>111</v>
      </c>
      <c r="B3" s="1" t="s">
        <v>245</v>
      </c>
      <c r="C3" s="3" t="n">
        <v>27478</v>
      </c>
      <c r="D3" s="1" t="s">
        <v>246</v>
      </c>
      <c r="E3" s="1" t="s">
        <v>79</v>
      </c>
      <c r="F3" s="1" t="s">
        <v>164</v>
      </c>
      <c r="G3" s="1" t="s">
        <v>247</v>
      </c>
      <c r="H3" s="1" t="s">
        <v>242</v>
      </c>
      <c r="I3" s="1" t="s">
        <v>85</v>
      </c>
      <c r="J3" s="1" t="s">
        <v>248</v>
      </c>
      <c r="K3" s="1" t="s">
        <v>249</v>
      </c>
      <c r="L3" s="1" t="n">
        <v>1111</v>
      </c>
      <c r="M3" s="1" t="s">
        <v>79</v>
      </c>
      <c r="N3" s="1" t="s">
        <v>86</v>
      </c>
      <c r="O3" s="1" t="s">
        <v>250</v>
      </c>
      <c r="P3" s="2" t="b">
        <f aca="false">TRUE()</f>
        <v>1</v>
      </c>
      <c r="Q3" s="1"/>
      <c r="R3" s="2" t="b">
        <f aca="false">FALSE()</f>
        <v>0</v>
      </c>
      <c r="S3" s="1"/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1</v>
      </c>
      <c r="Z3" s="1" t="s">
        <v>251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customFormat="false" ht="18" hidden="false" customHeight="false" outlineLevel="0" collapsed="false">
      <c r="A4" s="1" t="s">
        <v>111</v>
      </c>
      <c r="B4" s="1" t="s">
        <v>252</v>
      </c>
      <c r="C4" s="3" t="n">
        <v>32874</v>
      </c>
      <c r="D4" s="1" t="s">
        <v>253</v>
      </c>
      <c r="E4" s="1" t="s">
        <v>79</v>
      </c>
      <c r="F4" s="1" t="s">
        <v>164</v>
      </c>
      <c r="G4" s="1" t="s">
        <v>143</v>
      </c>
      <c r="H4" s="1" t="s">
        <v>242</v>
      </c>
      <c r="I4" s="1" t="s">
        <v>85</v>
      </c>
      <c r="J4" s="1" t="s">
        <v>144</v>
      </c>
      <c r="K4" s="1" t="s">
        <v>145</v>
      </c>
      <c r="L4" s="1" t="n">
        <v>50100000000</v>
      </c>
      <c r="M4" s="1" t="s">
        <v>79</v>
      </c>
      <c r="N4" s="1" t="s">
        <v>254</v>
      </c>
      <c r="O4" s="1" t="s">
        <v>165</v>
      </c>
      <c r="P4" s="2" t="b">
        <f aca="false">FALSE()</f>
        <v>0</v>
      </c>
      <c r="Q4" s="1"/>
      <c r="R4" s="2" t="b">
        <f aca="false">FALSE()</f>
        <v>0</v>
      </c>
      <c r="S4" s="1"/>
      <c r="T4" s="1" t="n">
        <v>0</v>
      </c>
      <c r="U4" s="1" t="n">
        <v>200000000</v>
      </c>
      <c r="V4" s="1" t="n">
        <v>112000000</v>
      </c>
      <c r="W4" s="1" t="n">
        <v>7000000</v>
      </c>
      <c r="X4" s="1" t="n">
        <v>5830952.38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 t="s">
        <v>85</v>
      </c>
      <c r="AT4" s="1" t="s">
        <v>255</v>
      </c>
    </row>
    <row r="5" customFormat="false" ht="18" hidden="false" customHeight="false" outlineLevel="0" collapsed="false">
      <c r="A5" s="1" t="s">
        <v>111</v>
      </c>
      <c r="B5" s="1" t="s">
        <v>256</v>
      </c>
      <c r="C5" s="3" t="n">
        <v>33239</v>
      </c>
      <c r="D5" s="1" t="s">
        <v>257</v>
      </c>
      <c r="E5" s="1" t="s">
        <v>79</v>
      </c>
      <c r="F5" s="1" t="s">
        <v>169</v>
      </c>
      <c r="G5" s="1" t="s">
        <v>143</v>
      </c>
      <c r="H5" s="1" t="s">
        <v>242</v>
      </c>
      <c r="I5" s="1" t="s">
        <v>85</v>
      </c>
      <c r="J5" s="1" t="s">
        <v>144</v>
      </c>
      <c r="K5" s="1" t="s">
        <v>145</v>
      </c>
      <c r="L5" s="1" t="n">
        <v>50100000001</v>
      </c>
      <c r="M5" s="1" t="s">
        <v>79</v>
      </c>
      <c r="N5" s="1" t="s">
        <v>86</v>
      </c>
      <c r="O5" s="1" t="s">
        <v>165</v>
      </c>
      <c r="P5" s="2" t="b">
        <f aca="false">TRUE()</f>
        <v>1</v>
      </c>
      <c r="Q5" s="1"/>
      <c r="R5" s="2" t="b">
        <f aca="false">FALSE()</f>
        <v>0</v>
      </c>
      <c r="S5" s="1"/>
      <c r="T5" s="1" t="n">
        <v>0</v>
      </c>
      <c r="U5" s="1" t="n">
        <v>220000000</v>
      </c>
      <c r="V5" s="1" t="n">
        <v>114000000</v>
      </c>
      <c r="W5" s="1" t="n">
        <v>2000000</v>
      </c>
      <c r="X5" s="1" t="n">
        <v>6430952.38</v>
      </c>
      <c r="Y5" s="1" t="n">
        <v>2</v>
      </c>
      <c r="Z5" s="1" t="s">
        <v>244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 t="s">
        <v>258</v>
      </c>
      <c r="AM5" s="1" t="s">
        <v>259</v>
      </c>
      <c r="AN5" s="1" t="s">
        <v>260</v>
      </c>
      <c r="AO5" s="1"/>
      <c r="AP5" s="1"/>
      <c r="AQ5" s="1"/>
      <c r="AR5" s="1"/>
      <c r="AS5" s="1" t="s">
        <v>85</v>
      </c>
      <c r="AT5" s="1" t="s">
        <v>261</v>
      </c>
    </row>
    <row r="6" customFormat="false" ht="18" hidden="false" customHeight="false" outlineLevel="0" collapsed="false">
      <c r="A6" s="1" t="s">
        <v>111</v>
      </c>
      <c r="B6" s="1" t="s">
        <v>262</v>
      </c>
      <c r="C6" s="3" t="n">
        <v>33604</v>
      </c>
      <c r="D6" s="1" t="s">
        <v>263</v>
      </c>
      <c r="E6" s="1" t="s">
        <v>79</v>
      </c>
      <c r="F6" s="1" t="s">
        <v>178</v>
      </c>
      <c r="G6" s="1" t="s">
        <v>143</v>
      </c>
      <c r="H6" s="1" t="s">
        <v>242</v>
      </c>
      <c r="I6" s="1" t="s">
        <v>85</v>
      </c>
      <c r="J6" s="1" t="s">
        <v>144</v>
      </c>
      <c r="K6" s="1" t="s">
        <v>145</v>
      </c>
      <c r="L6" s="1" t="n">
        <v>50100000002</v>
      </c>
      <c r="M6" s="1" t="s">
        <v>79</v>
      </c>
      <c r="N6" s="1" t="s">
        <v>254</v>
      </c>
      <c r="O6" s="1" t="s">
        <v>165</v>
      </c>
      <c r="P6" s="2" t="b">
        <f aca="false">TRUE()</f>
        <v>1</v>
      </c>
      <c r="Q6" s="1"/>
      <c r="R6" s="2" t="b">
        <f aca="false">FALSE()</f>
        <v>0</v>
      </c>
      <c r="S6" s="1"/>
      <c r="T6" s="1" t="n">
        <v>0</v>
      </c>
      <c r="U6" s="1" t="n">
        <v>200000000</v>
      </c>
      <c r="V6" s="1" t="n">
        <v>112000000</v>
      </c>
      <c r="W6" s="1" t="n">
        <v>2000000</v>
      </c>
      <c r="X6" s="1" t="n">
        <v>5830952.38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s">
        <v>85</v>
      </c>
      <c r="AT6" s="1" t="s">
        <v>264</v>
      </c>
    </row>
    <row r="7" customFormat="false" ht="18" hidden="false" customHeight="false" outlineLevel="0" collapsed="false">
      <c r="A7" s="1" t="s">
        <v>111</v>
      </c>
      <c r="B7" s="1" t="s">
        <v>265</v>
      </c>
      <c r="C7" s="3" t="n">
        <v>33970</v>
      </c>
      <c r="D7" s="1" t="s">
        <v>266</v>
      </c>
      <c r="E7" s="1" t="s">
        <v>79</v>
      </c>
      <c r="F7" s="1" t="s">
        <v>181</v>
      </c>
      <c r="G7" s="1" t="s">
        <v>143</v>
      </c>
      <c r="H7" s="1" t="s">
        <v>242</v>
      </c>
      <c r="I7" s="1" t="s">
        <v>85</v>
      </c>
      <c r="J7" s="1" t="s">
        <v>144</v>
      </c>
      <c r="K7" s="1" t="s">
        <v>145</v>
      </c>
      <c r="L7" s="1" t="n">
        <v>50100000003</v>
      </c>
      <c r="M7" s="1" t="s">
        <v>79</v>
      </c>
      <c r="N7" s="1" t="s">
        <v>254</v>
      </c>
      <c r="O7" s="1" t="s">
        <v>165</v>
      </c>
      <c r="P7" s="2" t="b">
        <f aca="false">FALSE()</f>
        <v>0</v>
      </c>
      <c r="Q7" s="1"/>
      <c r="R7" s="2" t="b">
        <f aca="false">FALSE()</f>
        <v>0</v>
      </c>
      <c r="S7" s="1"/>
      <c r="T7" s="1" t="n">
        <v>0</v>
      </c>
      <c r="U7" s="1" t="n">
        <v>200000000</v>
      </c>
      <c r="V7" s="1" t="n">
        <v>112000000</v>
      </c>
      <c r="W7" s="1" t="n">
        <v>6000000</v>
      </c>
      <c r="X7" s="1" t="n">
        <v>5830952.38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 t="s">
        <v>259</v>
      </c>
      <c r="AN7" s="1" t="s">
        <v>260</v>
      </c>
      <c r="AO7" s="1"/>
      <c r="AP7" s="1"/>
      <c r="AQ7" s="1"/>
      <c r="AR7" s="1"/>
      <c r="AS7" s="1" t="s">
        <v>85</v>
      </c>
      <c r="AT7" s="1" t="s">
        <v>267</v>
      </c>
    </row>
    <row r="8" customFormat="false" ht="18" hidden="false" customHeight="false" outlineLevel="0" collapsed="false">
      <c r="A8" s="1" t="s">
        <v>111</v>
      </c>
      <c r="B8" s="1" t="s">
        <v>268</v>
      </c>
      <c r="C8" s="3" t="n">
        <v>34335</v>
      </c>
      <c r="D8" s="1" t="s">
        <v>269</v>
      </c>
      <c r="E8" s="1" t="s">
        <v>79</v>
      </c>
      <c r="F8" s="1" t="s">
        <v>186</v>
      </c>
      <c r="G8" s="1" t="s">
        <v>143</v>
      </c>
      <c r="H8" s="1" t="s">
        <v>242</v>
      </c>
      <c r="I8" s="1" t="s">
        <v>170</v>
      </c>
      <c r="J8" s="1" t="s">
        <v>144</v>
      </c>
      <c r="K8" s="1" t="s">
        <v>145</v>
      </c>
      <c r="L8" s="1" t="n">
        <v>50100000004</v>
      </c>
      <c r="M8" s="1" t="s">
        <v>79</v>
      </c>
      <c r="N8" s="1" t="s">
        <v>254</v>
      </c>
      <c r="O8" s="1" t="s">
        <v>165</v>
      </c>
      <c r="P8" s="2" t="b">
        <f aca="false">TRUE()</f>
        <v>1</v>
      </c>
      <c r="Q8" s="1"/>
      <c r="R8" s="2" t="b">
        <f aca="false">FALSE()</f>
        <v>0</v>
      </c>
      <c r="S8" s="1"/>
      <c r="T8" s="1" t="n">
        <v>0</v>
      </c>
      <c r="U8" s="1" t="n">
        <v>20000000</v>
      </c>
      <c r="V8" s="1" t="n">
        <v>11200000</v>
      </c>
      <c r="W8" s="1" t="n">
        <v>200000</v>
      </c>
      <c r="X8" s="1" t="n">
        <v>740595.24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 t="s">
        <v>258</v>
      </c>
      <c r="AM8" s="1"/>
      <c r="AN8" s="1"/>
      <c r="AO8" s="1"/>
      <c r="AP8" s="1"/>
      <c r="AQ8" s="1"/>
      <c r="AR8" s="1"/>
      <c r="AS8" s="1" t="s">
        <v>170</v>
      </c>
      <c r="AT8" s="1" t="s">
        <v>270</v>
      </c>
    </row>
    <row r="9" customFormat="false" ht="18" hidden="false" customHeight="false" outlineLevel="0" collapsed="false">
      <c r="A9" s="1" t="s">
        <v>73</v>
      </c>
      <c r="B9" s="1" t="s">
        <v>271</v>
      </c>
      <c r="C9" s="3" t="n">
        <v>34700</v>
      </c>
      <c r="D9" s="1" t="s">
        <v>272</v>
      </c>
      <c r="E9" s="1" t="s">
        <v>79</v>
      </c>
      <c r="F9" s="1" t="s">
        <v>189</v>
      </c>
      <c r="G9" s="1" t="s">
        <v>143</v>
      </c>
      <c r="H9" s="1" t="s">
        <v>242</v>
      </c>
      <c r="I9" s="1" t="s">
        <v>85</v>
      </c>
      <c r="J9" s="1" t="s">
        <v>144</v>
      </c>
      <c r="K9" s="1" t="s">
        <v>145</v>
      </c>
      <c r="L9" s="1" t="n">
        <v>50100000005</v>
      </c>
      <c r="M9" s="1" t="s">
        <v>79</v>
      </c>
      <c r="N9" s="1" t="s">
        <v>254</v>
      </c>
      <c r="O9" s="1" t="s">
        <v>165</v>
      </c>
      <c r="P9" s="2" t="b">
        <f aca="false">FALSE()</f>
        <v>0</v>
      </c>
      <c r="Q9" s="1"/>
      <c r="R9" s="2" t="b">
        <f aca="false">FALSE()</f>
        <v>0</v>
      </c>
      <c r="S9" s="1"/>
      <c r="T9" s="1" t="n">
        <v>0</v>
      </c>
      <c r="U9" s="1" t="n">
        <v>20000000</v>
      </c>
      <c r="V9" s="1" t="n">
        <v>11200000</v>
      </c>
      <c r="W9" s="1" t="n">
        <v>200000</v>
      </c>
      <c r="X9" s="1" t="n">
        <v>740595.24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 t="s">
        <v>85</v>
      </c>
      <c r="AT9" s="1" t="s">
        <v>273</v>
      </c>
    </row>
    <row r="10" customFormat="false" ht="18" hidden="false" customHeight="false" outlineLevel="0" collapsed="false">
      <c r="A10" s="1" t="s">
        <v>73</v>
      </c>
      <c r="B10" s="1" t="s">
        <v>274</v>
      </c>
      <c r="C10" s="3" t="n">
        <v>35065</v>
      </c>
      <c r="D10" s="1" t="s">
        <v>275</v>
      </c>
      <c r="E10" s="1" t="s">
        <v>79</v>
      </c>
      <c r="F10" s="1" t="s">
        <v>192</v>
      </c>
      <c r="G10" s="1" t="s">
        <v>143</v>
      </c>
      <c r="H10" s="1" t="s">
        <v>242</v>
      </c>
      <c r="I10" s="1" t="s">
        <v>85</v>
      </c>
      <c r="J10" s="1" t="s">
        <v>144</v>
      </c>
      <c r="K10" s="1" t="s">
        <v>145</v>
      </c>
      <c r="L10" s="1" t="n">
        <v>50100000006</v>
      </c>
      <c r="M10" s="1" t="s">
        <v>79</v>
      </c>
      <c r="N10" s="1" t="s">
        <v>254</v>
      </c>
      <c r="O10" s="1" t="s">
        <v>165</v>
      </c>
      <c r="P10" s="2" t="b">
        <f aca="false">TRUE()</f>
        <v>1</v>
      </c>
      <c r="Q10" s="1"/>
      <c r="R10" s="2" t="b">
        <f aca="false">FALSE()</f>
        <v>0</v>
      </c>
      <c r="S10" s="1"/>
      <c r="T10" s="1" t="n">
        <v>0</v>
      </c>
      <c r="U10" s="1" t="n">
        <v>20000000</v>
      </c>
      <c r="V10" s="1" t="n">
        <v>11200000</v>
      </c>
      <c r="W10" s="1" t="n">
        <v>200000</v>
      </c>
      <c r="X10" s="1" t="n">
        <v>740595.24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 t="s">
        <v>85</v>
      </c>
      <c r="AT10" s="1" t="s">
        <v>276</v>
      </c>
    </row>
    <row r="11" customFormat="false" ht="18" hidden="false" customHeight="false" outlineLevel="0" collapsed="false">
      <c r="A11" s="1" t="s">
        <v>73</v>
      </c>
      <c r="B11" s="1" t="s">
        <v>277</v>
      </c>
      <c r="C11" s="3" t="n">
        <v>35431</v>
      </c>
      <c r="D11" s="1" t="s">
        <v>278</v>
      </c>
      <c r="E11" s="1" t="s">
        <v>79</v>
      </c>
      <c r="F11" s="1" t="s">
        <v>195</v>
      </c>
      <c r="G11" s="1" t="s">
        <v>143</v>
      </c>
      <c r="H11" s="1" t="s">
        <v>242</v>
      </c>
      <c r="I11" s="1" t="s">
        <v>85</v>
      </c>
      <c r="J11" s="1" t="s">
        <v>144</v>
      </c>
      <c r="K11" s="1" t="s">
        <v>145</v>
      </c>
      <c r="L11" s="1" t="n">
        <v>50100000007</v>
      </c>
      <c r="M11" s="1" t="s">
        <v>79</v>
      </c>
      <c r="N11" s="1" t="s">
        <v>254</v>
      </c>
      <c r="O11" s="1" t="s">
        <v>165</v>
      </c>
      <c r="P11" s="2" t="b">
        <f aca="false">FALSE()</f>
        <v>0</v>
      </c>
      <c r="Q11" s="1"/>
      <c r="R11" s="2" t="b">
        <f aca="false">FALSE()</f>
        <v>0</v>
      </c>
      <c r="S11" s="1"/>
      <c r="T11" s="1" t="n">
        <v>0</v>
      </c>
      <c r="U11" s="1" t="n">
        <v>20000000</v>
      </c>
      <c r="V11" s="1" t="n">
        <v>11200000</v>
      </c>
      <c r="W11" s="1" t="n">
        <v>200000</v>
      </c>
      <c r="X11" s="1" t="n">
        <v>740595.24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 t="s">
        <v>85</v>
      </c>
      <c r="AT11" s="1" t="s">
        <v>279</v>
      </c>
    </row>
    <row r="12" customFormat="false" ht="18" hidden="false" customHeight="false" outlineLevel="0" collapsed="false">
      <c r="A12" s="1" t="s">
        <v>73</v>
      </c>
      <c r="B12" s="1" t="s">
        <v>280</v>
      </c>
      <c r="C12" s="3" t="n">
        <v>35796</v>
      </c>
      <c r="D12" s="1" t="s">
        <v>281</v>
      </c>
      <c r="E12" s="1" t="s">
        <v>79</v>
      </c>
      <c r="F12" s="1" t="s">
        <v>198</v>
      </c>
      <c r="G12" s="1" t="s">
        <v>143</v>
      </c>
      <c r="H12" s="1" t="s">
        <v>242</v>
      </c>
      <c r="I12" s="1" t="s">
        <v>85</v>
      </c>
      <c r="J12" s="1" t="s">
        <v>144</v>
      </c>
      <c r="K12" s="1" t="s">
        <v>145</v>
      </c>
      <c r="L12" s="1" t="n">
        <v>50100000008</v>
      </c>
      <c r="M12" s="1" t="s">
        <v>79</v>
      </c>
      <c r="N12" s="1" t="s">
        <v>254</v>
      </c>
      <c r="O12" s="1" t="s">
        <v>165</v>
      </c>
      <c r="P12" s="2" t="b">
        <f aca="false">TRUE()</f>
        <v>1</v>
      </c>
      <c r="Q12" s="1"/>
      <c r="R12" s="2" t="b">
        <f aca="false">FALSE()</f>
        <v>0</v>
      </c>
      <c r="S12" s="1"/>
      <c r="T12" s="1" t="n">
        <v>0</v>
      </c>
      <c r="U12" s="1" t="n">
        <v>20000000</v>
      </c>
      <c r="V12" s="1" t="n">
        <v>11200000</v>
      </c>
      <c r="W12" s="1" t="n">
        <v>200000</v>
      </c>
      <c r="X12" s="1" t="n">
        <v>740595.24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 t="s">
        <v>258</v>
      </c>
      <c r="AM12" s="1" t="s">
        <v>259</v>
      </c>
      <c r="AN12" s="1"/>
      <c r="AO12" s="1"/>
      <c r="AP12" s="1"/>
      <c r="AQ12" s="1"/>
      <c r="AR12" s="1"/>
      <c r="AS12" s="1" t="s">
        <v>85</v>
      </c>
      <c r="AT12" s="1" t="s">
        <v>279</v>
      </c>
    </row>
    <row r="13" customFormat="false" ht="18" hidden="false" customHeight="false" outlineLevel="0" collapsed="false">
      <c r="A13" s="1" t="s">
        <v>73</v>
      </c>
      <c r="B13" s="1" t="s">
        <v>282</v>
      </c>
      <c r="C13" s="3" t="n">
        <v>36161</v>
      </c>
      <c r="D13" s="1" t="s">
        <v>283</v>
      </c>
      <c r="E13" s="1" t="s">
        <v>79</v>
      </c>
      <c r="F13" s="1" t="s">
        <v>201</v>
      </c>
      <c r="G13" s="1" t="s">
        <v>143</v>
      </c>
      <c r="H13" s="1" t="s">
        <v>242</v>
      </c>
      <c r="I13" s="1" t="s">
        <v>170</v>
      </c>
      <c r="J13" s="1" t="s">
        <v>144</v>
      </c>
      <c r="K13" s="1" t="s">
        <v>145</v>
      </c>
      <c r="L13" s="1" t="n">
        <v>50100000009</v>
      </c>
      <c r="M13" s="1" t="s">
        <v>79</v>
      </c>
      <c r="N13" s="1" t="s">
        <v>254</v>
      </c>
      <c r="O13" s="1" t="s">
        <v>165</v>
      </c>
      <c r="P13" s="2" t="b">
        <f aca="false">FALSE()</f>
        <v>0</v>
      </c>
      <c r="Q13" s="1"/>
      <c r="R13" s="2" t="b">
        <f aca="false">FALSE()</f>
        <v>0</v>
      </c>
      <c r="S13" s="1"/>
      <c r="T13" s="1" t="n">
        <v>0</v>
      </c>
      <c r="U13" s="1" t="n">
        <v>40000000</v>
      </c>
      <c r="V13" s="1" t="n">
        <v>22400000</v>
      </c>
      <c r="W13" s="1" t="n">
        <v>400000</v>
      </c>
      <c r="X13" s="1" t="n">
        <v>1306190.48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 t="s">
        <v>258</v>
      </c>
      <c r="AM13" s="1"/>
      <c r="AN13" s="1" t="s">
        <v>260</v>
      </c>
      <c r="AO13" s="1"/>
      <c r="AP13" s="1"/>
      <c r="AQ13" s="1"/>
      <c r="AR13" s="1"/>
      <c r="AS13" s="1" t="s">
        <v>170</v>
      </c>
      <c r="AT13" s="1" t="s">
        <v>284</v>
      </c>
    </row>
    <row r="14" customFormat="false" ht="18" hidden="false" customHeight="false" outlineLevel="0" collapsed="false">
      <c r="A14" s="1" t="s">
        <v>111</v>
      </c>
      <c r="B14" s="1" t="s">
        <v>285</v>
      </c>
      <c r="C14" s="3" t="n">
        <v>27478</v>
      </c>
      <c r="D14" s="1" t="s">
        <v>286</v>
      </c>
      <c r="E14" s="1" t="s">
        <v>79</v>
      </c>
      <c r="F14" s="1" t="s">
        <v>164</v>
      </c>
      <c r="G14" s="1" t="s">
        <v>152</v>
      </c>
      <c r="H14" s="1" t="s">
        <v>242</v>
      </c>
      <c r="I14" s="1" t="s">
        <v>85</v>
      </c>
      <c r="J14" s="1" t="s">
        <v>144</v>
      </c>
      <c r="K14" s="1" t="s">
        <v>145</v>
      </c>
      <c r="L14" s="1" t="n">
        <v>50100000000</v>
      </c>
      <c r="M14" s="1" t="s">
        <v>79</v>
      </c>
      <c r="N14" s="1" t="s">
        <v>86</v>
      </c>
      <c r="O14" s="1" t="s">
        <v>165</v>
      </c>
      <c r="P14" s="2" t="b">
        <f aca="false">FALSE()</f>
        <v>0</v>
      </c>
      <c r="Q14" s="1"/>
      <c r="R14" s="2" t="b">
        <f aca="false">FALSE()</f>
        <v>0</v>
      </c>
      <c r="S14" s="1" t="s">
        <v>204</v>
      </c>
      <c r="T14" s="1" t="n">
        <v>1000000</v>
      </c>
      <c r="U14" s="1" t="n">
        <v>0</v>
      </c>
      <c r="V14" s="1" t="n">
        <v>0</v>
      </c>
      <c r="W14" s="1" t="n">
        <v>0</v>
      </c>
      <c r="X14" s="1" t="n">
        <v>0</v>
      </c>
      <c r="Y14" s="1" t="s">
        <v>152</v>
      </c>
      <c r="Z14" s="1" t="s">
        <v>152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 t="s">
        <v>76</v>
      </c>
      <c r="AP14" s="1" t="s">
        <v>152</v>
      </c>
      <c r="AQ14" s="1"/>
      <c r="AR14" s="1"/>
      <c r="AS14" s="1" t="s">
        <v>85</v>
      </c>
      <c r="AT14" s="1" t="s">
        <v>166</v>
      </c>
    </row>
    <row r="15" customFormat="false" ht="18" hidden="false" customHeight="false" outlineLevel="0" collapsed="false">
      <c r="A15" s="1" t="s">
        <v>111</v>
      </c>
      <c r="B15" s="1" t="s">
        <v>287</v>
      </c>
      <c r="C15" s="1"/>
      <c r="D15" s="1"/>
      <c r="E15" s="1" t="s">
        <v>79</v>
      </c>
      <c r="F15" s="1"/>
      <c r="G15" s="1"/>
      <c r="H15" s="1" t="s">
        <v>242</v>
      </c>
      <c r="I15" s="1" t="s">
        <v>85</v>
      </c>
      <c r="J15" s="1"/>
      <c r="K15" s="1"/>
      <c r="L15" s="1"/>
      <c r="M15" s="1" t="s">
        <v>79</v>
      </c>
      <c r="N15" s="1" t="s">
        <v>86</v>
      </c>
      <c r="O15" s="1"/>
      <c r="P15" s="2" t="b">
        <f aca="false">FALSE()</f>
        <v>0</v>
      </c>
      <c r="Q15" s="1"/>
      <c r="R15" s="2" t="b">
        <f aca="false">FALSE()</f>
        <v>0</v>
      </c>
      <c r="S15" s="1"/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/>
      <c r="Z15" s="1"/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 t="s">
        <v>76</v>
      </c>
      <c r="AP15" s="1"/>
      <c r="AQ15" s="1"/>
      <c r="AR15" s="1" t="s">
        <v>288</v>
      </c>
      <c r="AS15" s="1" t="s">
        <v>89</v>
      </c>
      <c r="AT15" s="1" t="s">
        <v>90</v>
      </c>
    </row>
    <row r="16" customFormat="false" ht="18" hidden="false" customHeight="false" outlineLevel="0" collapsed="false">
      <c r="A16" s="1" t="s">
        <v>111</v>
      </c>
      <c r="B16" s="1" t="s">
        <v>289</v>
      </c>
      <c r="C16" s="3" t="n">
        <v>32874</v>
      </c>
      <c r="D16" s="1" t="s">
        <v>290</v>
      </c>
      <c r="E16" s="1" t="s">
        <v>79</v>
      </c>
      <c r="F16" s="1"/>
      <c r="G16" s="1"/>
      <c r="H16" s="1" t="s">
        <v>242</v>
      </c>
      <c r="I16" s="1" t="s">
        <v>85</v>
      </c>
      <c r="J16" s="1"/>
      <c r="K16" s="1"/>
      <c r="L16" s="1"/>
      <c r="M16" s="1" t="s">
        <v>79</v>
      </c>
      <c r="N16" s="1" t="s">
        <v>86</v>
      </c>
      <c r="O16" s="1"/>
      <c r="P16" s="2" t="b">
        <f aca="false">FALSE()</f>
        <v>0</v>
      </c>
      <c r="Q16" s="1"/>
      <c r="R16" s="2" t="b">
        <f aca="false">FALSE()</f>
        <v>0</v>
      </c>
      <c r="S16" s="1"/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/>
      <c r="Z16" s="1"/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 t="s">
        <v>76</v>
      </c>
      <c r="AP16" s="1"/>
      <c r="AQ16" s="1"/>
      <c r="AR16" s="1" t="s">
        <v>291</v>
      </c>
      <c r="AS16" s="1" t="s">
        <v>89</v>
      </c>
      <c r="AT16" s="1" t="s">
        <v>90</v>
      </c>
    </row>
    <row r="17" customFormat="false" ht="18" hidden="false" customHeight="false" outlineLevel="0" collapsed="false">
      <c r="A17" s="1" t="s">
        <v>111</v>
      </c>
      <c r="B17" s="1" t="s">
        <v>292</v>
      </c>
      <c r="C17" s="3" t="n">
        <v>32874</v>
      </c>
      <c r="D17" s="1" t="s">
        <v>293</v>
      </c>
      <c r="E17" s="1" t="s">
        <v>79</v>
      </c>
      <c r="F17" s="1" t="s">
        <v>152</v>
      </c>
      <c r="G17" s="1" t="s">
        <v>152</v>
      </c>
      <c r="H17" s="1" t="s">
        <v>242</v>
      </c>
      <c r="I17" s="1" t="s">
        <v>85</v>
      </c>
      <c r="J17" s="1" t="s">
        <v>152</v>
      </c>
      <c r="K17" s="1" t="s">
        <v>152</v>
      </c>
      <c r="L17" s="1" t="s">
        <v>152</v>
      </c>
      <c r="M17" s="1" t="s">
        <v>79</v>
      </c>
      <c r="N17" s="1" t="s">
        <v>86</v>
      </c>
      <c r="O17" s="1" t="s">
        <v>152</v>
      </c>
      <c r="P17" s="2" t="b">
        <f aca="false">TRUE()</f>
        <v>1</v>
      </c>
      <c r="Q17" s="1"/>
      <c r="R17" s="2" t="b">
        <f aca="false">FALSE()</f>
        <v>0</v>
      </c>
      <c r="S17" s="1"/>
      <c r="T17" s="1" t="n">
        <v>0</v>
      </c>
      <c r="U17" s="1" t="n">
        <v>70000000</v>
      </c>
      <c r="V17" s="1" t="n">
        <v>37000000</v>
      </c>
      <c r="W17" s="1" t="n">
        <v>37000000</v>
      </c>
      <c r="X17" s="1" t="n">
        <v>714285.71</v>
      </c>
      <c r="Y17" s="1" t="s">
        <v>152</v>
      </c>
      <c r="Z17" s="1" t="s">
        <v>152</v>
      </c>
      <c r="AA17" s="1" t="n">
        <v>1</v>
      </c>
      <c r="AB17" s="1" t="n">
        <v>1</v>
      </c>
      <c r="AC17" s="1" t="n">
        <v>1</v>
      </c>
      <c r="AD17" s="1" t="n">
        <v>1</v>
      </c>
      <c r="AE17" s="1" t="n">
        <v>1</v>
      </c>
      <c r="AF17" s="1" t="s">
        <v>152</v>
      </c>
      <c r="AG17" s="1"/>
      <c r="AH17" s="1"/>
      <c r="AI17" s="1"/>
      <c r="AJ17" s="1"/>
      <c r="AK17" s="1"/>
      <c r="AL17" s="1"/>
      <c r="AM17" s="1"/>
      <c r="AN17" s="1"/>
      <c r="AO17" s="1" t="s">
        <v>79</v>
      </c>
      <c r="AP17" s="1"/>
      <c r="AQ17" s="1"/>
      <c r="AR17" s="1" t="s">
        <v>291</v>
      </c>
      <c r="AS17" s="1" t="s">
        <v>89</v>
      </c>
      <c r="AT17" s="1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2025-06-08T02:35:12Z</dcterms:created>
  <dc:creator>axlsx</dc:creator>
  <dc:description/>
  <dc:language>en-IN</dc:language>
  <cp:lastModifiedBy/>
  <dcterms:modified xsi:type="dcterms:W3CDTF">2025-12-01T14:38:28Z</dcterms:modified>
  <cp:revision>2</cp:revision>
  <dc:subject/>
  <dc:title/>
</cp:coreProperties>
</file>