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9b322f8db0eee2/Desktop/Ausang/AltConnects/CapHive Shared Folders/Demo Inc Formats/Porfolio reports AI/AceMIS/"/>
    </mc:Choice>
  </mc:AlternateContent>
  <xr:revisionPtr revIDLastSave="98" documentId="13_ncr:1_{5C2DD3BE-7A5A-4D1F-B1AA-D45F5EC18960}" xr6:coauthVersionLast="47" xr6:coauthVersionMax="47" xr10:uidLastSave="{3193E0EB-4858-4039-9886-BE29E7BCB63A}"/>
  <bookViews>
    <workbookView xWindow="-110" yWindow="-110" windowWidth="22780" windowHeight="14540" xr2:uid="{B2766EFE-582D-444C-B95C-416F440DE038}"/>
  </bookViews>
  <sheets>
    <sheet name="M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13" i="1"/>
  <c r="L15" i="1"/>
  <c r="L22" i="1"/>
  <c r="L21" i="1"/>
  <c r="L20" i="1"/>
  <c r="L28" i="1"/>
  <c r="L30" i="1"/>
  <c r="L32" i="1"/>
  <c r="L34" i="1"/>
  <c r="J10" i="1"/>
  <c r="J17" i="1" s="1"/>
  <c r="J6" i="1"/>
  <c r="J3" i="1"/>
  <c r="M34" i="1"/>
  <c r="M32" i="1"/>
  <c r="M30" i="1"/>
  <c r="M28" i="1"/>
  <c r="M25" i="1"/>
  <c r="M22" i="1"/>
  <c r="M21" i="1"/>
  <c r="M20" i="1"/>
  <c r="M17" i="1"/>
  <c r="M15" i="1"/>
  <c r="M10" i="1"/>
  <c r="M13" i="1"/>
  <c r="M11" i="1"/>
  <c r="M5" i="1"/>
  <c r="M2" i="1"/>
  <c r="L5" i="1"/>
  <c r="L2" i="1"/>
  <c r="L17" i="1" l="1"/>
  <c r="J18" i="1"/>
  <c r="J25" i="1"/>
  <c r="J11" i="1"/>
  <c r="L10" i="1"/>
  <c r="L25" i="1" l="1"/>
  <c r="J26" i="1"/>
</calcChain>
</file>

<file path=xl/sharedStrings.xml><?xml version="1.0" encoding="utf-8"?>
<sst xmlns="http://schemas.openxmlformats.org/spreadsheetml/2006/main" count="52" uniqueCount="37">
  <si>
    <t>Rs mn</t>
  </si>
  <si>
    <t>No. of orders</t>
  </si>
  <si>
    <t>[# '000]</t>
  </si>
  <si>
    <t>GMV</t>
  </si>
  <si>
    <t>[Rs mn]</t>
  </si>
  <si>
    <t>[%]</t>
  </si>
  <si>
    <t>Take Rate</t>
  </si>
  <si>
    <t>Change MoM</t>
  </si>
  <si>
    <t>Cash backs/Discount</t>
  </si>
  <si>
    <t>Logistics</t>
  </si>
  <si>
    <t>Contribution</t>
  </si>
  <si>
    <t>Employee cost</t>
  </si>
  <si>
    <t>SG&amp;A</t>
  </si>
  <si>
    <t>Advertising</t>
  </si>
  <si>
    <t>EBITDA</t>
  </si>
  <si>
    <t>Net Revenue</t>
  </si>
  <si>
    <t>Gross Cash</t>
  </si>
  <si>
    <t>Net Debt</t>
  </si>
  <si>
    <t>Headcount</t>
  </si>
  <si>
    <t>Runway</t>
  </si>
  <si>
    <t>18 months</t>
  </si>
  <si>
    <t>20 months</t>
  </si>
  <si>
    <t>15 months</t>
  </si>
  <si>
    <t>Q1 FY24</t>
  </si>
  <si>
    <t>Q2 FY24</t>
  </si>
  <si>
    <t>Q3 FY24</t>
  </si>
  <si>
    <t>Q4 FY 24</t>
  </si>
  <si>
    <t>Q1 FY25</t>
  </si>
  <si>
    <t>Q2 FY25</t>
  </si>
  <si>
    <t>Q3 FY25</t>
  </si>
  <si>
    <t>Contribution Margin</t>
  </si>
  <si>
    <t>FY24</t>
  </si>
  <si>
    <t>FY25</t>
  </si>
  <si>
    <t>Q4 FY25</t>
  </si>
  <si>
    <t xml:space="preserve">Orders QoQ Growth </t>
  </si>
  <si>
    <t xml:space="preserve">GMV QoQ Growth </t>
  </si>
  <si>
    <t>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</si>
</sst>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  <numFmt numFmtId="166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17" fontId="4" fillId="0" borderId="0" xfId="0" applyNumberFormat="1" applyFont="1" applyAlignment="1">
      <alignment horizontal="center"/>
    </xf>
    <xf numFmtId="17" fontId="2" fillId="0" borderId="0" xfId="0" applyNumberFormat="1" applyFont="1"/>
    <xf numFmtId="164" fontId="0" fillId="0" borderId="0" xfId="1" applyNumberFormat="1" applyFont="1"/>
    <xf numFmtId="9" fontId="3" fillId="0" borderId="0" xfId="0" applyNumberFormat="1" applyFont="1"/>
    <xf numFmtId="165" fontId="0" fillId="0" borderId="0" xfId="1" applyNumberFormat="1" applyFont="1"/>
    <xf numFmtId="10" fontId="0" fillId="0" borderId="0" xfId="0" applyNumberFormat="1"/>
    <xf numFmtId="165" fontId="0" fillId="0" borderId="0" xfId="0" applyNumberFormat="1"/>
    <xf numFmtId="166" fontId="3" fillId="0" borderId="0" xfId="0" applyNumberFormat="1" applyFont="1"/>
    <xf numFmtId="43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45E0-E559-47C6-9FC3-412CA22B9295}">
  <sheetPr>
    <pageSetUpPr fitToPage="1"/>
  </sheetPr>
  <dimension ref="A1:M34"/>
  <sheetViews>
    <sheetView tabSelected="1" zoomScaleNormal="100" workbookViewId="0">
      <selection activeCell="A17" sqref="A17"/>
    </sheetView>
  </sheetViews>
  <sheetFormatPr defaultRowHeight="14.5" x14ac:dyDescent="0.35"/>
  <cols>
    <col min="1" max="1" width="18.54296875" customWidth="1"/>
    <col min="2" max="2" width="8.7265625" style="1"/>
    <col min="3" max="3" width="11.453125" bestFit="1" customWidth="1"/>
    <col min="4" max="4" width="11.26953125" bestFit="1" customWidth="1"/>
    <col min="5" max="5" width="12" bestFit="1" customWidth="1"/>
    <col min="6" max="6" width="11.6328125" bestFit="1" customWidth="1"/>
    <col min="7" max="7" width="11.453125" bestFit="1" customWidth="1"/>
    <col min="8" max="8" width="11.26953125" bestFit="1" customWidth="1"/>
    <col min="9" max="9" width="12" bestFit="1" customWidth="1"/>
    <col min="10" max="10" width="12" customWidth="1"/>
    <col min="12" max="12" width="9.6328125" bestFit="1" customWidth="1"/>
  </cols>
  <sheetData>
    <row r="1" spans="1:13" x14ac:dyDescent="0.35">
      <c r="A1" s="2" t="s">
        <v>0</v>
      </c>
      <c r="B1" s="3"/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33</v>
      </c>
      <c r="L1" s="4" t="s">
        <v>32</v>
      </c>
      <c r="M1" s="4" t="s">
        <v>31</v>
      </c>
    </row>
    <row r="2" spans="1:13" x14ac:dyDescent="0.35">
      <c r="A2" t="s">
        <v>1</v>
      </c>
      <c r="B2" s="1" t="s">
        <v>2</v>
      </c>
      <c r="C2" s="5">
        <v>22.735400000000002</v>
      </c>
      <c r="D2" s="5">
        <v>24.012117926565878</v>
      </c>
      <c r="E2" s="5">
        <v>26.173208539956811</v>
      </c>
      <c r="F2" s="5">
        <v>32.716510674946015</v>
      </c>
      <c r="G2" s="5">
        <v>34.37905568202131</v>
      </c>
      <c r="H2" s="5">
        <v>35.744717652118879</v>
      </c>
      <c r="I2" s="5">
        <v>36.575990155656527</v>
      </c>
      <c r="J2" s="5">
        <v>38</v>
      </c>
      <c r="L2" s="7">
        <f>SUM(G2:I2)</f>
        <v>106.69976348979672</v>
      </c>
      <c r="M2" s="13">
        <f>SUM(C2:F2)</f>
        <v>105.63723714146872</v>
      </c>
    </row>
    <row r="3" spans="1:13" x14ac:dyDescent="0.35">
      <c r="A3" s="2" t="s">
        <v>34</v>
      </c>
      <c r="C3" s="6">
        <v>-0.05</v>
      </c>
      <c r="D3" s="6">
        <v>5.6155507559395357E-2</v>
      </c>
      <c r="E3" s="6">
        <v>0.09</v>
      </c>
      <c r="F3" s="6">
        <v>0.25</v>
      </c>
      <c r="G3" s="6">
        <v>5.0816696914700588E-2</v>
      </c>
      <c r="H3" s="6">
        <v>3.9723661485319584E-2</v>
      </c>
      <c r="I3" s="6">
        <v>2.3255813953488413E-2</v>
      </c>
      <c r="J3" s="6">
        <f>J2/I2-1</f>
        <v>3.8932913047146744E-2</v>
      </c>
      <c r="L3" s="7"/>
    </row>
    <row r="4" spans="1:13" x14ac:dyDescent="0.35">
      <c r="L4" s="7"/>
    </row>
    <row r="5" spans="1:13" x14ac:dyDescent="0.35">
      <c r="A5" t="s">
        <v>3</v>
      </c>
      <c r="B5" s="1" t="s">
        <v>4</v>
      </c>
      <c r="C5" s="7">
        <v>8048.3316000000004</v>
      </c>
      <c r="D5" s="7">
        <v>8020.0473874730033</v>
      </c>
      <c r="E5" s="7">
        <v>9396.1818658444954</v>
      </c>
      <c r="F5" s="7">
        <v>11516.211757580997</v>
      </c>
      <c r="G5" s="7">
        <v>11654.499876205224</v>
      </c>
      <c r="H5" s="7">
        <v>13189.800813631866</v>
      </c>
      <c r="I5" s="7">
        <v>13569.692347748571</v>
      </c>
      <c r="J5" s="7">
        <v>14100</v>
      </c>
      <c r="L5" s="7">
        <f>SUM(G5:I5)</f>
        <v>38413.993037585657</v>
      </c>
      <c r="M5" s="13">
        <f>SUM(C5:F5)</f>
        <v>36980.772610898493</v>
      </c>
    </row>
    <row r="6" spans="1:13" x14ac:dyDescent="0.35">
      <c r="A6" s="2" t="s">
        <v>35</v>
      </c>
      <c r="B6" s="1" t="s">
        <v>5</v>
      </c>
      <c r="C6" s="6">
        <v>1.2951807228915646E-2</v>
      </c>
      <c r="D6" s="6">
        <v>-3.5142951275761725E-3</v>
      </c>
      <c r="E6" s="6">
        <v>0.17158682634730571</v>
      </c>
      <c r="F6" s="6">
        <v>0.22562674094707513</v>
      </c>
      <c r="G6" s="6">
        <v>1.2008125721828078E-2</v>
      </c>
      <c r="H6" s="6">
        <v>0.13173460497959577</v>
      </c>
      <c r="I6" s="6">
        <v>2.8801915926135901E-2</v>
      </c>
      <c r="J6" s="6">
        <f>J5/I5-1</f>
        <v>3.9080300323788508E-2</v>
      </c>
      <c r="L6" s="7"/>
    </row>
    <row r="7" spans="1:13" x14ac:dyDescent="0.35">
      <c r="L7" s="7"/>
    </row>
    <row r="8" spans="1:13" x14ac:dyDescent="0.35">
      <c r="A8" t="s">
        <v>6</v>
      </c>
      <c r="B8" s="1" t="s">
        <v>5</v>
      </c>
      <c r="C8" s="8">
        <v>0.12519999999999998</v>
      </c>
      <c r="D8" s="8">
        <v>0.127</v>
      </c>
      <c r="E8" s="8">
        <v>0.126</v>
      </c>
      <c r="F8" s="8">
        <v>0.1265</v>
      </c>
      <c r="G8" s="8">
        <v>0.12659999999999999</v>
      </c>
      <c r="H8" s="8">
        <v>0.125</v>
      </c>
      <c r="I8" s="8">
        <v>0.1245</v>
      </c>
      <c r="J8" s="8">
        <v>0.128</v>
      </c>
      <c r="L8" s="7">
        <f>J8</f>
        <v>0.128</v>
      </c>
    </row>
    <row r="9" spans="1:13" x14ac:dyDescent="0.35">
      <c r="L9" s="7"/>
    </row>
    <row r="10" spans="1:13" x14ac:dyDescent="0.35">
      <c r="A10" t="s">
        <v>15</v>
      </c>
      <c r="B10" s="1" t="s">
        <v>4</v>
      </c>
      <c r="C10" s="9">
        <v>1007.6511163199999</v>
      </c>
      <c r="D10" s="9">
        <v>1018.5460182090715</v>
      </c>
      <c r="E10" s="9">
        <v>1183.9189150964064</v>
      </c>
      <c r="F10" s="9">
        <v>1456.8007873339961</v>
      </c>
      <c r="G10" s="9">
        <v>1475.4596843275813</v>
      </c>
      <c r="H10" s="9">
        <v>1648.7251017039832</v>
      </c>
      <c r="I10" s="9">
        <v>1689.4266972946971</v>
      </c>
      <c r="J10" s="9">
        <f>J5*J8</f>
        <v>1804.8</v>
      </c>
      <c r="L10" s="7">
        <f>SUM(G10:J10)</f>
        <v>6618.411483326262</v>
      </c>
      <c r="M10" s="13">
        <f>SUM(C10:F10)</f>
        <v>4666.9168369594736</v>
      </c>
    </row>
    <row r="11" spans="1:13" x14ac:dyDescent="0.35">
      <c r="A11" s="2" t="s">
        <v>7</v>
      </c>
      <c r="C11" s="10">
        <v>1.3761520903758706E-2</v>
      </c>
      <c r="D11" s="10">
        <v>1.0812176667714501E-2</v>
      </c>
      <c r="E11" s="10">
        <v>0.16236173322646064</v>
      </c>
      <c r="F11" s="10">
        <v>0.23049033912543671</v>
      </c>
      <c r="G11" s="10">
        <v>1.2808132145323503E-2</v>
      </c>
      <c r="H11" s="10">
        <v>0.11743148200986941</v>
      </c>
      <c r="I11" s="10">
        <v>2.4686708262431356E-2</v>
      </c>
      <c r="J11" s="6">
        <f>J10/I10-1</f>
        <v>6.8291393103975251E-2</v>
      </c>
      <c r="L11" s="7"/>
      <c r="M11" s="13">
        <f>SUM(C11:F11)</f>
        <v>0.41742576992337055</v>
      </c>
    </row>
    <row r="12" spans="1:13" x14ac:dyDescent="0.35">
      <c r="L12" s="7"/>
    </row>
    <row r="13" spans="1:13" x14ac:dyDescent="0.35">
      <c r="A13" t="s">
        <v>8</v>
      </c>
      <c r="B13" s="1" t="s">
        <v>4</v>
      </c>
      <c r="C13" s="9">
        <v>160.966632</v>
      </c>
      <c r="D13" s="9">
        <v>160.40094774946007</v>
      </c>
      <c r="E13" s="9">
        <v>187.92363731688991</v>
      </c>
      <c r="F13" s="9">
        <v>230.32423515161994</v>
      </c>
      <c r="G13" s="9">
        <v>233.08999752410449</v>
      </c>
      <c r="H13" s="9">
        <v>263.7960162726373</v>
      </c>
      <c r="I13" s="9">
        <v>271.39384695497142</v>
      </c>
      <c r="J13" s="9">
        <v>350</v>
      </c>
      <c r="L13" s="7">
        <f>SUM(G13:J13)</f>
        <v>1118.2798607517132</v>
      </c>
      <c r="M13" s="13">
        <f>SUM(C13:F13)</f>
        <v>739.61545221796996</v>
      </c>
    </row>
    <row r="14" spans="1:13" x14ac:dyDescent="0.35">
      <c r="L14" s="7"/>
    </row>
    <row r="15" spans="1:13" x14ac:dyDescent="0.35">
      <c r="A15" t="s">
        <v>9</v>
      </c>
      <c r="B15" s="1" t="s">
        <v>4</v>
      </c>
      <c r="C15" s="11">
        <v>80.483316000000002</v>
      </c>
      <c r="D15" s="11">
        <v>80.200473874730037</v>
      </c>
      <c r="E15" s="11">
        <v>93.961818658444955</v>
      </c>
      <c r="F15" s="11">
        <v>115.16211757580997</v>
      </c>
      <c r="G15" s="11">
        <v>116.54499876205224</v>
      </c>
      <c r="H15" s="11">
        <v>131.89800813631865</v>
      </c>
      <c r="I15" s="11">
        <v>135.69692347748571</v>
      </c>
      <c r="J15" s="11">
        <v>146</v>
      </c>
      <c r="L15" s="7">
        <f>SUM(G15:J15)</f>
        <v>530.13993037585658</v>
      </c>
      <c r="M15" s="13">
        <f>SUM(C15:F15)</f>
        <v>369.80772610898498</v>
      </c>
    </row>
    <row r="16" spans="1:13" x14ac:dyDescent="0.35">
      <c r="L16" s="7"/>
    </row>
    <row r="17" spans="1:13" x14ac:dyDescent="0.35">
      <c r="A17" t="s">
        <v>10</v>
      </c>
      <c r="B17" s="1" t="s">
        <v>4</v>
      </c>
      <c r="C17" s="9">
        <v>766.20116831999985</v>
      </c>
      <c r="D17" s="9">
        <v>777.94459658488131</v>
      </c>
      <c r="E17" s="9">
        <v>902.03345912107159</v>
      </c>
      <c r="F17" s="9">
        <v>1111.3144346065662</v>
      </c>
      <c r="G17" s="9">
        <v>1125.8246880414245</v>
      </c>
      <c r="H17" s="9">
        <v>1253.0310772950272</v>
      </c>
      <c r="I17" s="9">
        <v>1282.3359268622398</v>
      </c>
      <c r="J17" s="9">
        <f>J10-J13-J15</f>
        <v>1308.8</v>
      </c>
      <c r="L17" s="7">
        <f>SUM(G17:J17)</f>
        <v>4969.9916921986915</v>
      </c>
      <c r="M17" s="13">
        <f>SUM(C17:F17)</f>
        <v>3557.4936586325193</v>
      </c>
    </row>
    <row r="18" spans="1:13" x14ac:dyDescent="0.35">
      <c r="A18" t="s">
        <v>30</v>
      </c>
      <c r="C18" s="6">
        <v>0.76038338658146953</v>
      </c>
      <c r="D18" s="6">
        <v>0.76377952755905509</v>
      </c>
      <c r="E18" s="6">
        <v>0.76190476190476197</v>
      </c>
      <c r="F18" s="6">
        <v>0.76284584980237158</v>
      </c>
      <c r="G18" s="6">
        <v>0.76303317535545012</v>
      </c>
      <c r="H18" s="6">
        <v>0.76</v>
      </c>
      <c r="I18" s="6">
        <v>0.75903614457831314</v>
      </c>
      <c r="J18" s="6">
        <f>J17/J10</f>
        <v>0.72517730496453903</v>
      </c>
      <c r="L18" s="7"/>
    </row>
    <row r="19" spans="1:13" x14ac:dyDescent="0.35">
      <c r="C19" s="6"/>
      <c r="D19" s="6"/>
      <c r="E19" s="6"/>
      <c r="F19" s="6"/>
      <c r="G19" s="6"/>
      <c r="H19" s="6"/>
      <c r="I19" s="6"/>
      <c r="J19" s="6"/>
      <c r="L19" s="7"/>
    </row>
    <row r="20" spans="1:13" x14ac:dyDescent="0.35">
      <c r="A20" t="s">
        <v>11</v>
      </c>
      <c r="B20" s="1" t="s">
        <v>4</v>
      </c>
      <c r="C20">
        <v>575</v>
      </c>
      <c r="D20">
        <v>580</v>
      </c>
      <c r="E20">
        <v>585</v>
      </c>
      <c r="F20">
        <v>590</v>
      </c>
      <c r="G20">
        <v>595</v>
      </c>
      <c r="H20">
        <v>600</v>
      </c>
      <c r="I20">
        <v>605</v>
      </c>
      <c r="J20">
        <v>650</v>
      </c>
      <c r="L20" s="7">
        <f t="shared" ref="L20:L22" si="0">SUM(G20:J20)</f>
        <v>2450</v>
      </c>
      <c r="M20" s="13">
        <f t="shared" ref="M20:M22" si="1">SUM(C20:F20)</f>
        <v>2330</v>
      </c>
    </row>
    <row r="21" spans="1:13" x14ac:dyDescent="0.35">
      <c r="A21" t="s">
        <v>12</v>
      </c>
      <c r="B21" s="1" t="s">
        <v>4</v>
      </c>
      <c r="C21" s="12">
        <v>338.33291353228105</v>
      </c>
      <c r="D21" s="12">
        <v>340.0245780999424</v>
      </c>
      <c r="E21" s="12">
        <v>341.7247009904421</v>
      </c>
      <c r="F21" s="12">
        <v>343.43332449539429</v>
      </c>
      <c r="G21" s="12">
        <v>345.15049111787124</v>
      </c>
      <c r="H21" s="12">
        <v>346.87624357346056</v>
      </c>
      <c r="I21" s="12">
        <v>348.61062479132784</v>
      </c>
      <c r="J21" s="12">
        <v>374</v>
      </c>
      <c r="L21" s="7">
        <f t="shared" si="0"/>
        <v>1414.6373594826596</v>
      </c>
      <c r="M21" s="13">
        <f t="shared" si="1"/>
        <v>1363.5155171180597</v>
      </c>
    </row>
    <row r="22" spans="1:13" x14ac:dyDescent="0.35">
      <c r="A22" t="s">
        <v>13</v>
      </c>
      <c r="B22" s="1" t="s">
        <v>4</v>
      </c>
      <c r="C22">
        <v>200</v>
      </c>
      <c r="D22">
        <v>325</v>
      </c>
      <c r="E22">
        <v>450</v>
      </c>
      <c r="F22">
        <v>450</v>
      </c>
      <c r="G22">
        <v>450</v>
      </c>
      <c r="H22">
        <v>450</v>
      </c>
      <c r="I22">
        <v>450</v>
      </c>
      <c r="J22">
        <v>578</v>
      </c>
      <c r="L22" s="7">
        <f t="shared" si="0"/>
        <v>1928</v>
      </c>
      <c r="M22" s="13">
        <f t="shared" si="1"/>
        <v>1425</v>
      </c>
    </row>
    <row r="23" spans="1:13" x14ac:dyDescent="0.35">
      <c r="L23" s="7"/>
    </row>
    <row r="24" spans="1:13" x14ac:dyDescent="0.35">
      <c r="L24" s="7"/>
    </row>
    <row r="25" spans="1:13" x14ac:dyDescent="0.35">
      <c r="A25" t="s">
        <v>14</v>
      </c>
      <c r="B25" s="1" t="s">
        <v>4</v>
      </c>
      <c r="C25" s="9">
        <v>-347.1317452122812</v>
      </c>
      <c r="D25" s="9">
        <v>-467.07998151506109</v>
      </c>
      <c r="E25" s="9">
        <v>-474.69124186937051</v>
      </c>
      <c r="F25" s="9">
        <v>-272.11888988882805</v>
      </c>
      <c r="G25" s="9">
        <v>-264.32580307644679</v>
      </c>
      <c r="H25" s="9">
        <v>-143.84516627843334</v>
      </c>
      <c r="I25" s="9">
        <v>-121.27469792908801</v>
      </c>
      <c r="J25" s="9">
        <f>J17-J20-J21-J22</f>
        <v>-293.20000000000005</v>
      </c>
      <c r="L25" s="7">
        <f>SUM(G25:J25)</f>
        <v>-822.64566728396812</v>
      </c>
      <c r="M25" s="13">
        <f>SUM(C25:F25)</f>
        <v>-1561.0218584855409</v>
      </c>
    </row>
    <row r="26" spans="1:13" x14ac:dyDescent="0.35">
      <c r="C26" s="6">
        <v>-0.34449596650081271</v>
      </c>
      <c r="D26" s="6">
        <v>-0.45857523682271772</v>
      </c>
      <c r="E26" s="6">
        <v>-0.40094911553188289</v>
      </c>
      <c r="F26" s="6">
        <v>-0.18679210792219336</v>
      </c>
      <c r="G26" s="6">
        <v>-0.17914810271275514</v>
      </c>
      <c r="H26" s="6">
        <v>-8.7246300871968954E-2</v>
      </c>
      <c r="I26" s="6">
        <v>-7.1784527924938613E-2</v>
      </c>
      <c r="J26" s="6">
        <f>J25/J10</f>
        <v>-0.16245567375886527</v>
      </c>
      <c r="L26" s="7"/>
    </row>
    <row r="27" spans="1:13" x14ac:dyDescent="0.35">
      <c r="L27" s="7"/>
    </row>
    <row r="28" spans="1:13" x14ac:dyDescent="0.35">
      <c r="A28" t="s">
        <v>16</v>
      </c>
      <c r="B28" s="1" t="s">
        <v>4</v>
      </c>
      <c r="C28" s="9">
        <v>653.39965073146845</v>
      </c>
      <c r="D28" s="9">
        <v>186.31966921640736</v>
      </c>
      <c r="E28" s="9">
        <v>-288.37157265296315</v>
      </c>
      <c r="F28" s="9">
        <v>-560.4904625417912</v>
      </c>
      <c r="G28" s="9">
        <v>-824.81626561823805</v>
      </c>
      <c r="H28" s="9">
        <v>-968.66143189667139</v>
      </c>
      <c r="I28" s="9">
        <v>-1089.9361298257595</v>
      </c>
      <c r="J28" s="9">
        <v>250</v>
      </c>
      <c r="L28" s="7">
        <f>J28</f>
        <v>250</v>
      </c>
      <c r="M28" s="9">
        <f>F28</f>
        <v>-560.4904625417912</v>
      </c>
    </row>
    <row r="29" spans="1:13" x14ac:dyDescent="0.35">
      <c r="L29" s="7"/>
    </row>
    <row r="30" spans="1:13" x14ac:dyDescent="0.35">
      <c r="A30" t="s">
        <v>17</v>
      </c>
      <c r="B30" s="1" t="s">
        <v>4</v>
      </c>
      <c r="C30">
        <v>950</v>
      </c>
      <c r="D30">
        <v>800</v>
      </c>
      <c r="E30">
        <v>925</v>
      </c>
      <c r="F30">
        <v>875</v>
      </c>
      <c r="G30">
        <v>935</v>
      </c>
      <c r="H30">
        <v>1100</v>
      </c>
      <c r="I30">
        <v>1025</v>
      </c>
      <c r="J30">
        <v>2000</v>
      </c>
      <c r="L30">
        <f>J30</f>
        <v>2000</v>
      </c>
      <c r="M30" s="9">
        <f>F30</f>
        <v>875</v>
      </c>
    </row>
    <row r="32" spans="1:13" x14ac:dyDescent="0.35">
      <c r="A32" t="s">
        <v>18</v>
      </c>
      <c r="C32">
        <v>125</v>
      </c>
      <c r="D32">
        <v>130</v>
      </c>
      <c r="E32">
        <v>135</v>
      </c>
      <c r="F32">
        <v>140</v>
      </c>
      <c r="G32">
        <v>145</v>
      </c>
      <c r="H32">
        <v>150</v>
      </c>
      <c r="I32">
        <v>155</v>
      </c>
      <c r="J32">
        <v>176</v>
      </c>
      <c r="L32">
        <f>J32</f>
        <v>176</v>
      </c>
      <c r="M32" s="9">
        <f>F32</f>
        <v>140</v>
      </c>
    </row>
    <row r="34" spans="1:13" x14ac:dyDescent="0.35">
      <c r="A34" t="s">
        <v>19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21</v>
      </c>
      <c r="I34" t="s">
        <v>20</v>
      </c>
      <c r="J34" t="s">
        <v>36</v>
      </c>
      <c r="L34" t="str">
        <f>J34</f>
        <v>6 months</v>
      </c>
      <c r="M34" s="9" t="str">
        <f>F34</f>
        <v>15 months</v>
      </c>
    </row>
  </sheetData>
  <phoneticPr fontId="5" type="noConversion"/>
  <pageMargins left="0.7" right="0.7" top="0.75" bottom="0.75" header="0.3" footer="0.3"/>
  <pageSetup paperSize="9" scale="8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cp:lastPrinted>2024-12-24T07:56:42Z</cp:lastPrinted>
  <dcterms:created xsi:type="dcterms:W3CDTF">2024-04-22T06:07:10Z</dcterms:created>
  <dcterms:modified xsi:type="dcterms:W3CDTF">2025-07-06T01:55:39Z</dcterms:modified>
</cp:coreProperties>
</file>